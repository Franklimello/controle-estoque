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E3CBAA9534645A49/"/>
    </mc:Choice>
  </mc:AlternateContent>
  <xr:revisionPtr revIDLastSave="0" documentId="8_{9343D1DD-4363-4172-98C1-95EAC15AB794}" xr6:coauthVersionLast="47" xr6:coauthVersionMax="47" xr10:uidLastSave="{00000000-0000-0000-0000-000000000000}"/>
  <bookViews>
    <workbookView xWindow="0" yWindow="0" windowWidth="19200" windowHeight="7303" xr2:uid="{00000000-000D-0000-FFFF-FFFF00000000}"/>
  </bookViews>
  <sheets>
    <sheet name="ESTOQUE GERAL" sheetId="1" r:id="rId1"/>
    <sheet name="VALIDADE" sheetId="18" r:id="rId2"/>
    <sheet name="DEZEMBRO-25" sheetId="3" r:id="rId3"/>
    <sheet name="1-26" sheetId="19" r:id="rId4"/>
    <sheet name="2-26" sheetId="5" r:id="rId5"/>
    <sheet name="3-26" sheetId="6" r:id="rId6"/>
    <sheet name="4-26" sheetId="7" r:id="rId7"/>
    <sheet name="5-26" sheetId="8" r:id="rId8"/>
    <sheet name="6-26" sheetId="9" r:id="rId9"/>
    <sheet name="7-26" sheetId="10" r:id="rId10"/>
    <sheet name="8-26" sheetId="11" r:id="rId11"/>
    <sheet name="9-26" sheetId="12" r:id="rId12"/>
    <sheet name="10-26" sheetId="13" r:id="rId13"/>
    <sheet name="11-26" sheetId="14" r:id="rId14"/>
    <sheet name="12-26" sheetId="15" r:id="rId15"/>
  </sheets>
  <definedNames>
    <definedName name="_xlnm._FilterDatabase" localSheetId="0" hidden="1">'ESTOQUE GERAL'!$A$1:$G$550</definedName>
    <definedName name="_xlnm._FilterDatabase" localSheetId="3" hidden="1">'1-26'!$A$1:$BS$300</definedName>
    <definedName name="ENTRADA">'DEZEMBRO-25'!$AN$1:$BR$120</definedName>
    <definedName name="FINAL">#REF!</definedName>
    <definedName name="SAÍDA">'DEZEMBRO-25'!$H$1:$AL$111</definedName>
    <definedName name="sala_03" localSheetId="0" hidden="1">'ESTOQUE GERAL'!#REF!</definedName>
    <definedName name="validades">Tabela14[]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3" l="1"/>
  <c r="BS120" i="3"/>
  <c r="AM120" i="3"/>
  <c r="BS119" i="3"/>
  <c r="AM119" i="3"/>
  <c r="AM113" i="3"/>
  <c r="AM114" i="3"/>
  <c r="AM115" i="3"/>
  <c r="AM116" i="3"/>
  <c r="AM117" i="3"/>
  <c r="AM118" i="3"/>
  <c r="AM112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BS111" i="3"/>
  <c r="BS112" i="3"/>
  <c r="G112" i="3" s="1"/>
  <c r="B112" i="19" s="1"/>
  <c r="BS113" i="3"/>
  <c r="BS114" i="3"/>
  <c r="BS115" i="3"/>
  <c r="BS116" i="3"/>
  <c r="BS117" i="3"/>
  <c r="BS118" i="3"/>
  <c r="G118" i="3" s="1"/>
  <c r="D4" i="19"/>
  <c r="AM4" i="19"/>
  <c r="AM5" i="19"/>
  <c r="AM6" i="19"/>
  <c r="AM7" i="19"/>
  <c r="AM8" i="19"/>
  <c r="G8" i="19"/>
  <c r="AM9" i="19"/>
  <c r="G9" i="19"/>
  <c r="AM10" i="19"/>
  <c r="AM11" i="19"/>
  <c r="G11" i="19"/>
  <c r="AM12" i="19"/>
  <c r="AM13" i="19"/>
  <c r="G13" i="19"/>
  <c r="AM14" i="19"/>
  <c r="G14" i="19"/>
  <c r="AM15" i="19"/>
  <c r="AM16" i="19"/>
  <c r="AM17" i="19"/>
  <c r="AM18" i="19"/>
  <c r="AM19" i="19"/>
  <c r="AM20" i="19"/>
  <c r="AM21" i="19"/>
  <c r="G21" i="19"/>
  <c r="AM22" i="19"/>
  <c r="G22" i="19"/>
  <c r="AM23" i="19"/>
  <c r="G23" i="19"/>
  <c r="AM24" i="19"/>
  <c r="AM25" i="19"/>
  <c r="G25" i="19"/>
  <c r="AM26" i="19"/>
  <c r="G26" i="19"/>
  <c r="AM27" i="19"/>
  <c r="AM28" i="19"/>
  <c r="AM29" i="19"/>
  <c r="AM30" i="19"/>
  <c r="AM31" i="19"/>
  <c r="AM32" i="19"/>
  <c r="G32" i="19"/>
  <c r="AM33" i="19"/>
  <c r="AM34" i="19"/>
  <c r="G34" i="19"/>
  <c r="AM35" i="19"/>
  <c r="G35" i="19"/>
  <c r="AM36" i="19"/>
  <c r="G36" i="19"/>
  <c r="AM37" i="19"/>
  <c r="AM38" i="19"/>
  <c r="G38" i="19"/>
  <c r="AM39" i="19"/>
  <c r="AM40" i="19"/>
  <c r="AM41" i="19"/>
  <c r="AM42" i="19"/>
  <c r="AM43" i="19"/>
  <c r="G43" i="19"/>
  <c r="AM44" i="19"/>
  <c r="AM45" i="19"/>
  <c r="G45" i="19"/>
  <c r="AM46" i="19"/>
  <c r="G46" i="19"/>
  <c r="AM47" i="19"/>
  <c r="G47" i="19"/>
  <c r="AM48" i="19"/>
  <c r="G48" i="19"/>
  <c r="AM49" i="19"/>
  <c r="G49" i="19"/>
  <c r="AM50" i="19"/>
  <c r="G50" i="19"/>
  <c r="AM51" i="19"/>
  <c r="AM52" i="19"/>
  <c r="AM53" i="19"/>
  <c r="AM54" i="19"/>
  <c r="AM55" i="19"/>
  <c r="G55" i="19"/>
  <c r="AM56" i="19"/>
  <c r="G56" i="19"/>
  <c r="AM57" i="19"/>
  <c r="AM58" i="19"/>
  <c r="G58" i="19"/>
  <c r="AM59" i="19"/>
  <c r="G59" i="19"/>
  <c r="AM60" i="19"/>
  <c r="AM61" i="19"/>
  <c r="G61" i="19"/>
  <c r="AM62" i="19"/>
  <c r="G62" i="19"/>
  <c r="AM63" i="19"/>
  <c r="AM64" i="19"/>
  <c r="AM65" i="19"/>
  <c r="AM66" i="19"/>
  <c r="AM67" i="19"/>
  <c r="AM68" i="19"/>
  <c r="G68" i="19"/>
  <c r="AM69" i="19"/>
  <c r="G69" i="19"/>
  <c r="AM70" i="19"/>
  <c r="G70" i="19"/>
  <c r="AM71" i="19"/>
  <c r="G71" i="19"/>
  <c r="AM72" i="19"/>
  <c r="AM73" i="19"/>
  <c r="G73" i="19"/>
  <c r="AM74" i="19"/>
  <c r="G74" i="19"/>
  <c r="AM75" i="19"/>
  <c r="AM76" i="19"/>
  <c r="AM77" i="19"/>
  <c r="AM78" i="19"/>
  <c r="AM79" i="19"/>
  <c r="AM80" i="19"/>
  <c r="AM81" i="19"/>
  <c r="G81" i="19"/>
  <c r="AM82" i="19"/>
  <c r="G82" i="19"/>
  <c r="AM83" i="19"/>
  <c r="G83" i="19"/>
  <c r="AM84" i="19"/>
  <c r="G84" i="19"/>
  <c r="AM85" i="19"/>
  <c r="G85" i="19"/>
  <c r="AM86" i="19"/>
  <c r="G86" i="19"/>
  <c r="AM87" i="19"/>
  <c r="AM88" i="19"/>
  <c r="AM89" i="19"/>
  <c r="AM90" i="19"/>
  <c r="AM91" i="19"/>
  <c r="G91" i="19"/>
  <c r="AM92" i="19"/>
  <c r="AM93" i="19"/>
  <c r="G93" i="19"/>
  <c r="AM94" i="19"/>
  <c r="G94" i="19"/>
  <c r="AM95" i="19"/>
  <c r="G95" i="19"/>
  <c r="AM96" i="19"/>
  <c r="G96" i="19"/>
  <c r="AM97" i="19"/>
  <c r="G97" i="19"/>
  <c r="AM98" i="19"/>
  <c r="G98" i="19"/>
  <c r="AM99" i="19"/>
  <c r="AM100" i="19"/>
  <c r="AM101" i="19"/>
  <c r="AM102" i="19"/>
  <c r="AM103" i="19"/>
  <c r="G103" i="19"/>
  <c r="AM104" i="19"/>
  <c r="G104" i="19"/>
  <c r="AM105" i="19"/>
  <c r="G105" i="19"/>
  <c r="AM106" i="19"/>
  <c r="G106" i="19"/>
  <c r="AM107" i="19"/>
  <c r="G107" i="19"/>
  <c r="AM108" i="19"/>
  <c r="AM109" i="19"/>
  <c r="G109" i="19"/>
  <c r="AM110" i="19"/>
  <c r="G110" i="19"/>
  <c r="AM111" i="19"/>
  <c r="AM112" i="19"/>
  <c r="AM3" i="19"/>
  <c r="D2" i="19"/>
  <c r="D3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1" i="19"/>
  <c r="C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1" i="19"/>
  <c r="A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1" i="19"/>
  <c r="B2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1" i="19"/>
  <c r="BS112" i="19"/>
  <c r="G112" i="19"/>
  <c r="BS111" i="19"/>
  <c r="G111" i="19"/>
  <c r="BS110" i="19"/>
  <c r="BS109" i="19"/>
  <c r="BS108" i="19"/>
  <c r="G108" i="19"/>
  <c r="BS107" i="19"/>
  <c r="BS106" i="19"/>
  <c r="BS105" i="19"/>
  <c r="BS104" i="19"/>
  <c r="BS103" i="19"/>
  <c r="BS102" i="19"/>
  <c r="G102" i="19"/>
  <c r="BS101" i="19"/>
  <c r="G101" i="19"/>
  <c r="BS100" i="19"/>
  <c r="G100" i="19"/>
  <c r="BS99" i="19"/>
  <c r="G99" i="19"/>
  <c r="BS98" i="19"/>
  <c r="BS97" i="19"/>
  <c r="BS96" i="19"/>
  <c r="BS95" i="19"/>
  <c r="BS94" i="19"/>
  <c r="BS93" i="19"/>
  <c r="BS92" i="19"/>
  <c r="G92" i="19"/>
  <c r="BS91" i="19"/>
  <c r="BS90" i="19"/>
  <c r="G90" i="19"/>
  <c r="BS89" i="19"/>
  <c r="G89" i="19"/>
  <c r="BS88" i="19"/>
  <c r="G88" i="19"/>
  <c r="BS87" i="19"/>
  <c r="G87" i="19"/>
  <c r="BS86" i="19"/>
  <c r="BS85" i="19"/>
  <c r="BS84" i="19"/>
  <c r="BS83" i="19"/>
  <c r="BS82" i="19"/>
  <c r="BS81" i="19"/>
  <c r="BS80" i="19"/>
  <c r="G80" i="19"/>
  <c r="BS79" i="19"/>
  <c r="G79" i="19"/>
  <c r="BS78" i="19"/>
  <c r="G78" i="19"/>
  <c r="BS77" i="19"/>
  <c r="G77" i="19"/>
  <c r="BS76" i="19"/>
  <c r="G76" i="19"/>
  <c r="BS75" i="19"/>
  <c r="G75" i="19"/>
  <c r="BS74" i="19"/>
  <c r="BS73" i="19"/>
  <c r="BS72" i="19"/>
  <c r="G72" i="19"/>
  <c r="BS71" i="19"/>
  <c r="BS70" i="19"/>
  <c r="BS69" i="19"/>
  <c r="BS68" i="19"/>
  <c r="BS67" i="19"/>
  <c r="G67" i="19"/>
  <c r="BS66" i="19"/>
  <c r="G66" i="19"/>
  <c r="BS65" i="19"/>
  <c r="G65" i="19"/>
  <c r="BS64" i="19"/>
  <c r="G64" i="19"/>
  <c r="BS63" i="19"/>
  <c r="G63" i="19"/>
  <c r="BS62" i="19"/>
  <c r="BS61" i="19"/>
  <c r="BS60" i="19"/>
  <c r="G60" i="19"/>
  <c r="BS59" i="19"/>
  <c r="BS58" i="19"/>
  <c r="BS57" i="19"/>
  <c r="G57" i="19"/>
  <c r="BS56" i="19"/>
  <c r="BS55" i="19"/>
  <c r="BS54" i="19"/>
  <c r="G54" i="19"/>
  <c r="BS53" i="19"/>
  <c r="G53" i="19"/>
  <c r="BS52" i="19"/>
  <c r="G52" i="19"/>
  <c r="BS51" i="19"/>
  <c r="G51" i="19"/>
  <c r="BS50" i="19"/>
  <c r="BS49" i="19"/>
  <c r="BS48" i="19"/>
  <c r="BS47" i="19"/>
  <c r="BS46" i="19"/>
  <c r="BS45" i="19"/>
  <c r="BS44" i="19"/>
  <c r="G44" i="19"/>
  <c r="BS43" i="19"/>
  <c r="BS42" i="19"/>
  <c r="G42" i="19"/>
  <c r="BS41" i="19"/>
  <c r="G41" i="19"/>
  <c r="BS40" i="19"/>
  <c r="G40" i="19"/>
  <c r="BS39" i="19"/>
  <c r="G39" i="19"/>
  <c r="BS38" i="19"/>
  <c r="BS37" i="19"/>
  <c r="G37" i="19"/>
  <c r="BS36" i="19"/>
  <c r="BS35" i="19"/>
  <c r="BS34" i="19"/>
  <c r="BS33" i="19"/>
  <c r="G33" i="19"/>
  <c r="BS32" i="19"/>
  <c r="BS31" i="19"/>
  <c r="G31" i="19"/>
  <c r="BS30" i="19"/>
  <c r="G30" i="19"/>
  <c r="BS29" i="19"/>
  <c r="G29" i="19"/>
  <c r="BS28" i="19"/>
  <c r="G28" i="19"/>
  <c r="BS27" i="19"/>
  <c r="G27" i="19"/>
  <c r="BS26" i="19"/>
  <c r="BS25" i="19"/>
  <c r="BS24" i="19"/>
  <c r="G24" i="19"/>
  <c r="BS23" i="19"/>
  <c r="BS22" i="19"/>
  <c r="BS21" i="19"/>
  <c r="BS20" i="19"/>
  <c r="G20" i="19"/>
  <c r="BS19" i="19"/>
  <c r="G19" i="19"/>
  <c r="BS18" i="19"/>
  <c r="G18" i="19"/>
  <c r="BS17" i="19"/>
  <c r="G17" i="19"/>
  <c r="BS16" i="19"/>
  <c r="G16" i="19"/>
  <c r="BS15" i="19"/>
  <c r="G15" i="19"/>
  <c r="BS14" i="19"/>
  <c r="BS13" i="19"/>
  <c r="BS12" i="19"/>
  <c r="G12" i="19"/>
  <c r="BS11" i="19"/>
  <c r="BS10" i="19"/>
  <c r="G10" i="19"/>
  <c r="BS9" i="19"/>
  <c r="BS8" i="19"/>
  <c r="BS7" i="19"/>
  <c r="G7" i="19"/>
  <c r="BS6" i="19"/>
  <c r="G6" i="19"/>
  <c r="BS5" i="19"/>
  <c r="G5" i="19"/>
  <c r="BS4" i="19"/>
  <c r="G4" i="19"/>
  <c r="BS3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BS4" i="3"/>
  <c r="G4" i="3" s="1"/>
  <c r="B4" i="19" s="1"/>
  <c r="BS5" i="3"/>
  <c r="G5" i="3" s="1"/>
  <c r="B5" i="19" s="1"/>
  <c r="BS6" i="3"/>
  <c r="G6" i="3" s="1"/>
  <c r="B6" i="19" s="1"/>
  <c r="BS7" i="3"/>
  <c r="G7" i="3" s="1"/>
  <c r="B7" i="19" s="1"/>
  <c r="BS8" i="3"/>
  <c r="BS9" i="3"/>
  <c r="BS10" i="3"/>
  <c r="BS11" i="3"/>
  <c r="BS12" i="3"/>
  <c r="BS13" i="3"/>
  <c r="BS14" i="3"/>
  <c r="G14" i="3" s="1"/>
  <c r="B14" i="19" s="1"/>
  <c r="BS15" i="3"/>
  <c r="G15" i="3" s="1"/>
  <c r="B15" i="19" s="1"/>
  <c r="BS16" i="3"/>
  <c r="G16" i="3" s="1"/>
  <c r="B16" i="19" s="1"/>
  <c r="BS17" i="3"/>
  <c r="BS18" i="3"/>
  <c r="G18" i="3" s="1"/>
  <c r="BS19" i="3"/>
  <c r="G19" i="3" s="1"/>
  <c r="BS20" i="3"/>
  <c r="BS21" i="3"/>
  <c r="BS22" i="3"/>
  <c r="BS23" i="3"/>
  <c r="BS24" i="3"/>
  <c r="BS25" i="3"/>
  <c r="BS26" i="3"/>
  <c r="G26" i="3" s="1"/>
  <c r="B26" i="19" s="1"/>
  <c r="BS27" i="3"/>
  <c r="G27" i="3" s="1"/>
  <c r="B27" i="19" s="1"/>
  <c r="BS28" i="3"/>
  <c r="G28" i="3" s="1"/>
  <c r="B28" i="19" s="1"/>
  <c r="BS29" i="3"/>
  <c r="BS30" i="3"/>
  <c r="G30" i="3" s="1"/>
  <c r="B30" i="19" s="1"/>
  <c r="BS31" i="3"/>
  <c r="G31" i="3" s="1"/>
  <c r="B31" i="19" s="1"/>
  <c r="BS32" i="3"/>
  <c r="G32" i="3" s="1"/>
  <c r="B32" i="19" s="1"/>
  <c r="BS33" i="3"/>
  <c r="BS34" i="3"/>
  <c r="BS35" i="3"/>
  <c r="BS36" i="3"/>
  <c r="BS37" i="3"/>
  <c r="BS38" i="3"/>
  <c r="G38" i="3" s="1"/>
  <c r="B38" i="19" s="1"/>
  <c r="BS39" i="3"/>
  <c r="G39" i="3" s="1"/>
  <c r="B39" i="19" s="1"/>
  <c r="BS40" i="3"/>
  <c r="G40" i="3" s="1"/>
  <c r="B40" i="19" s="1"/>
  <c r="BS41" i="3"/>
  <c r="BS42" i="3"/>
  <c r="G42" i="3" s="1"/>
  <c r="B42" i="19" s="1"/>
  <c r="BS43" i="3"/>
  <c r="G43" i="3" s="1"/>
  <c r="B43" i="19" s="1"/>
  <c r="BS44" i="3"/>
  <c r="BS45" i="3"/>
  <c r="BS46" i="3"/>
  <c r="BS47" i="3"/>
  <c r="BS48" i="3"/>
  <c r="BS49" i="3"/>
  <c r="BS50" i="3"/>
  <c r="G50" i="3" s="1"/>
  <c r="B50" i="19" s="1"/>
  <c r="BS51" i="3"/>
  <c r="G51" i="3" s="1"/>
  <c r="B51" i="19" s="1"/>
  <c r="BS52" i="3"/>
  <c r="G52" i="3" s="1"/>
  <c r="B52" i="19" s="1"/>
  <c r="BS53" i="3"/>
  <c r="BS54" i="3"/>
  <c r="G54" i="3" s="1"/>
  <c r="B54" i="19" s="1"/>
  <c r="BS55" i="3"/>
  <c r="G55" i="3" s="1"/>
  <c r="B55" i="19" s="1"/>
  <c r="BS56" i="3"/>
  <c r="G56" i="3" s="1"/>
  <c r="B56" i="19" s="1"/>
  <c r="BS57" i="3"/>
  <c r="BS58" i="3"/>
  <c r="BS59" i="3"/>
  <c r="BS60" i="3"/>
  <c r="BS61" i="3"/>
  <c r="G61" i="3" s="1"/>
  <c r="B61" i="19" s="1"/>
  <c r="BS62" i="3"/>
  <c r="G62" i="3" s="1"/>
  <c r="B62" i="19" s="1"/>
  <c r="BS63" i="3"/>
  <c r="G63" i="3" s="1"/>
  <c r="B63" i="19" s="1"/>
  <c r="BS64" i="3"/>
  <c r="G64" i="3" s="1"/>
  <c r="B64" i="19" s="1"/>
  <c r="BS65" i="3"/>
  <c r="BS66" i="3"/>
  <c r="G66" i="3" s="1"/>
  <c r="B66" i="19" s="1"/>
  <c r="BS67" i="3"/>
  <c r="G67" i="3" s="1"/>
  <c r="B67" i="19" s="1"/>
  <c r="BS68" i="3"/>
  <c r="G68" i="3" s="1"/>
  <c r="B68" i="19" s="1"/>
  <c r="BS69" i="3"/>
  <c r="BS70" i="3"/>
  <c r="BS71" i="3"/>
  <c r="BS72" i="3"/>
  <c r="BS73" i="3"/>
  <c r="BS74" i="3"/>
  <c r="G74" i="3" s="1"/>
  <c r="B74" i="19" s="1"/>
  <c r="BS75" i="3"/>
  <c r="G75" i="3" s="1"/>
  <c r="B75" i="19" s="1"/>
  <c r="BS76" i="3"/>
  <c r="G76" i="3" s="1"/>
  <c r="B76" i="19" s="1"/>
  <c r="BS77" i="3"/>
  <c r="BS78" i="3"/>
  <c r="G78" i="3" s="1"/>
  <c r="B78" i="19" s="1"/>
  <c r="BS79" i="3"/>
  <c r="G79" i="3" s="1"/>
  <c r="B79" i="19" s="1"/>
  <c r="BS80" i="3"/>
  <c r="G80" i="3" s="1"/>
  <c r="B80" i="19" s="1"/>
  <c r="BS81" i="3"/>
  <c r="BS82" i="3"/>
  <c r="BS83" i="3"/>
  <c r="BS84" i="3"/>
  <c r="BS85" i="3"/>
  <c r="BS86" i="3"/>
  <c r="G86" i="3" s="1"/>
  <c r="B86" i="19" s="1"/>
  <c r="BS87" i="3"/>
  <c r="G87" i="3" s="1"/>
  <c r="B87" i="19" s="1"/>
  <c r="BS88" i="3"/>
  <c r="G88" i="3" s="1"/>
  <c r="B88" i="19" s="1"/>
  <c r="BS89" i="3"/>
  <c r="BS90" i="3"/>
  <c r="G90" i="3" s="1"/>
  <c r="B90" i="19" s="1"/>
  <c r="BS91" i="3"/>
  <c r="G91" i="3" s="1"/>
  <c r="B91" i="19" s="1"/>
  <c r="BS92" i="3"/>
  <c r="G92" i="3" s="1"/>
  <c r="B92" i="19" s="1"/>
  <c r="BS93" i="3"/>
  <c r="BS94" i="3"/>
  <c r="BS95" i="3"/>
  <c r="BS96" i="3"/>
  <c r="BS97" i="3"/>
  <c r="BS98" i="3"/>
  <c r="G98" i="3" s="1"/>
  <c r="B98" i="19" s="1"/>
  <c r="BS99" i="3"/>
  <c r="G99" i="3" s="1"/>
  <c r="B99" i="19" s="1"/>
  <c r="BS100" i="3"/>
  <c r="G100" i="3" s="1"/>
  <c r="B100" i="19" s="1"/>
  <c r="BS101" i="3"/>
  <c r="BS102" i="3"/>
  <c r="G102" i="3" s="1"/>
  <c r="B102" i="19" s="1"/>
  <c r="BS103" i="3"/>
  <c r="G103" i="3" s="1"/>
  <c r="B103" i="19" s="1"/>
  <c r="BS104" i="3"/>
  <c r="G104" i="3" s="1"/>
  <c r="B104" i="19" s="1"/>
  <c r="BS105" i="3"/>
  <c r="BS106" i="3"/>
  <c r="BS107" i="3"/>
  <c r="BS108" i="3"/>
  <c r="BS109" i="3"/>
  <c r="BS110" i="3"/>
  <c r="G110" i="3" s="1"/>
  <c r="BS3" i="3"/>
  <c r="G3" i="3" s="1"/>
  <c r="B3" i="19" s="1"/>
  <c r="G8" i="3"/>
  <c r="B8" i="19" s="1"/>
  <c r="G9" i="3"/>
  <c r="B9" i="19" s="1"/>
  <c r="G10" i="3"/>
  <c r="B10" i="19" s="1"/>
  <c r="G13" i="3"/>
  <c r="B13" i="19" s="1"/>
  <c r="G20" i="3"/>
  <c r="G21" i="3"/>
  <c r="G22" i="3"/>
  <c r="B22" i="19" s="1"/>
  <c r="G25" i="3"/>
  <c r="B25" i="19" s="1"/>
  <c r="G33" i="3"/>
  <c r="G34" i="3"/>
  <c r="B34" i="19" s="1"/>
  <c r="G36" i="3"/>
  <c r="B36" i="19" s="1"/>
  <c r="G37" i="3"/>
  <c r="B37" i="19" s="1"/>
  <c r="G44" i="3"/>
  <c r="B44" i="19" s="1"/>
  <c r="G45" i="3"/>
  <c r="G46" i="3"/>
  <c r="B46" i="19" s="1"/>
  <c r="G49" i="3"/>
  <c r="B49" i="19" s="1"/>
  <c r="G57" i="3"/>
  <c r="B57" i="19" s="1"/>
  <c r="G58" i="3"/>
  <c r="B58" i="19" s="1"/>
  <c r="G69" i="3"/>
  <c r="G70" i="3"/>
  <c r="G73" i="3"/>
  <c r="B73" i="19" s="1"/>
  <c r="G81" i="3"/>
  <c r="B81" i="19" s="1"/>
  <c r="G82" i="3"/>
  <c r="B82" i="19" s="1"/>
  <c r="G85" i="3"/>
  <c r="B85" i="19" s="1"/>
  <c r="G93" i="3"/>
  <c r="B93" i="19" s="1"/>
  <c r="G94" i="3"/>
  <c r="G97" i="3"/>
  <c r="B97" i="19" s="1"/>
  <c r="G105" i="3"/>
  <c r="B105" i="19" s="1"/>
  <c r="G106" i="3"/>
  <c r="B106" i="19" s="1"/>
  <c r="G109" i="3"/>
  <c r="B109" i="19" s="1"/>
  <c r="G3" i="19"/>
  <c r="A2" i="1"/>
  <c r="A3" i="1"/>
  <c r="A4" i="1"/>
  <c r="A5" i="1"/>
  <c r="A8" i="1"/>
  <c r="A9" i="1"/>
  <c r="A21" i="1"/>
  <c r="A22" i="1"/>
  <c r="A26" i="1"/>
  <c r="A31" i="1"/>
  <c r="A32" i="1"/>
  <c r="A34" i="1"/>
  <c r="A36" i="1"/>
  <c r="A37" i="1"/>
  <c r="A38" i="1"/>
  <c r="A39" i="1"/>
  <c r="A40" i="1"/>
  <c r="A41" i="1"/>
  <c r="A66" i="1"/>
  <c r="A67" i="1"/>
  <c r="A68" i="1"/>
  <c r="A69" i="1"/>
  <c r="A70" i="1"/>
  <c r="A71" i="1"/>
  <c r="A72" i="1"/>
  <c r="A73" i="1"/>
  <c r="A74" i="1"/>
  <c r="A183" i="1"/>
  <c r="A195" i="1"/>
  <c r="A214" i="1"/>
  <c r="A215" i="1"/>
  <c r="A216" i="1"/>
  <c r="A219" i="1"/>
  <c r="A222" i="1"/>
  <c r="A223" i="1"/>
  <c r="A246" i="1"/>
  <c r="A247" i="1"/>
  <c r="A249" i="1"/>
  <c r="A250" i="1"/>
  <c r="A258" i="1"/>
  <c r="A259" i="1"/>
  <c r="A263" i="1"/>
  <c r="A279" i="1"/>
  <c r="A280" i="1"/>
  <c r="A281" i="1"/>
  <c r="A288" i="1"/>
  <c r="A300" i="1"/>
  <c r="A366" i="1"/>
  <c r="A367" i="1"/>
  <c r="A368" i="1"/>
  <c r="A369" i="1"/>
  <c r="A415" i="1"/>
  <c r="A508" i="1"/>
  <c r="A514" i="1"/>
  <c r="A515" i="1"/>
  <c r="A516" i="1"/>
  <c r="A546" i="1"/>
  <c r="A544" i="1"/>
  <c r="A6" i="1"/>
  <c r="A7" i="1"/>
  <c r="A24" i="1"/>
  <c r="A25" i="1"/>
  <c r="A29" i="1"/>
  <c r="A49" i="1"/>
  <c r="A53" i="1"/>
  <c r="A54" i="1"/>
  <c r="A55" i="1"/>
  <c r="A56" i="1"/>
  <c r="A57" i="1"/>
  <c r="A58" i="1"/>
  <c r="A59" i="1"/>
  <c r="A76" i="1"/>
  <c r="A77" i="1"/>
  <c r="A80" i="1"/>
  <c r="A81" i="1"/>
  <c r="A95" i="1"/>
  <c r="A96" i="1"/>
  <c r="A97" i="1"/>
  <c r="A98" i="1"/>
  <c r="A99" i="1"/>
  <c r="A100" i="1"/>
  <c r="A101" i="1"/>
  <c r="A102" i="1"/>
  <c r="A105" i="1"/>
  <c r="A106" i="1"/>
  <c r="A107" i="1"/>
  <c r="A108" i="1"/>
  <c r="A109" i="1"/>
  <c r="A110" i="1"/>
  <c r="A111" i="1"/>
  <c r="A112" i="1"/>
  <c r="A129" i="1"/>
  <c r="A130" i="1"/>
  <c r="A131" i="1"/>
  <c r="A132" i="1"/>
  <c r="A156" i="1"/>
  <c r="A157" i="1"/>
  <c r="A158" i="1"/>
  <c r="A159" i="1"/>
  <c r="A164" i="1"/>
  <c r="A165" i="1"/>
  <c r="A166" i="1"/>
  <c r="A167" i="1"/>
  <c r="A182" i="1"/>
  <c r="A196" i="1"/>
  <c r="A197" i="1"/>
  <c r="A198" i="1"/>
  <c r="A199" i="1"/>
  <c r="A200" i="1"/>
  <c r="A220" i="1"/>
  <c r="A221" i="1"/>
  <c r="A224" i="1"/>
  <c r="A225" i="1"/>
  <c r="A226" i="1"/>
  <c r="A251" i="1"/>
  <c r="A252" i="1"/>
  <c r="A253" i="1"/>
  <c r="A254" i="1"/>
  <c r="A255" i="1"/>
  <c r="A256" i="1"/>
  <c r="A257" i="1"/>
  <c r="A282" i="1"/>
  <c r="A283" i="1"/>
  <c r="A284" i="1"/>
  <c r="A291" i="1"/>
  <c r="A301" i="1"/>
  <c r="A302" i="1"/>
  <c r="A304" i="1"/>
  <c r="A311" i="1"/>
  <c r="A307" i="1"/>
  <c r="A308" i="1"/>
  <c r="A309" i="1"/>
  <c r="A310" i="1"/>
  <c r="A312" i="1"/>
  <c r="A313" i="1"/>
  <c r="A314" i="1"/>
  <c r="A347" i="1"/>
  <c r="A348" i="1"/>
  <c r="A359" i="1"/>
  <c r="A373" i="1"/>
  <c r="A375" i="1"/>
  <c r="A376" i="1"/>
  <c r="A377" i="1"/>
  <c r="A378" i="1"/>
  <c r="A380" i="1"/>
  <c r="A382" i="1"/>
  <c r="A383" i="1"/>
  <c r="A384" i="1"/>
  <c r="A385" i="1"/>
  <c r="A386" i="1"/>
  <c r="A387" i="1"/>
  <c r="A388" i="1"/>
  <c r="A389" i="1"/>
  <c r="A390" i="1"/>
  <c r="A391" i="1"/>
  <c r="A393" i="1"/>
  <c r="A394" i="1"/>
  <c r="A396" i="1"/>
  <c r="A397" i="1"/>
  <c r="A398" i="1"/>
  <c r="A399" i="1"/>
  <c r="A400" i="1"/>
  <c r="A401" i="1"/>
  <c r="A402" i="1"/>
  <c r="A404" i="1"/>
  <c r="A405" i="1"/>
  <c r="A407" i="1"/>
  <c r="A411" i="1"/>
  <c r="A412" i="1"/>
  <c r="A413" i="1"/>
  <c r="A414" i="1"/>
  <c r="A448" i="1"/>
  <c r="A517" i="1"/>
  <c r="A518" i="1"/>
  <c r="A519" i="1"/>
  <c r="A520" i="1"/>
  <c r="A521" i="1"/>
  <c r="A530" i="1"/>
  <c r="A395" i="1"/>
  <c r="A349" i="1"/>
  <c r="A127" i="1"/>
  <c r="A128" i="1"/>
  <c r="A248" i="1"/>
  <c r="A194" i="1"/>
  <c r="A30" i="1"/>
  <c r="A46" i="1"/>
  <c r="A62" i="1"/>
  <c r="A63" i="1"/>
  <c r="A174" i="1"/>
  <c r="A175" i="1"/>
  <c r="A176" i="1"/>
  <c r="A177" i="1"/>
  <c r="A290" i="1"/>
  <c r="A338" i="1"/>
  <c r="A339" i="1"/>
  <c r="A340" i="1"/>
  <c r="A510" i="1"/>
  <c r="A511" i="1"/>
  <c r="A512" i="1"/>
  <c r="A513" i="1"/>
  <c r="A229" i="1"/>
  <c r="A228" i="1"/>
  <c r="A227" i="1"/>
  <c r="A305" i="1"/>
  <c r="A329" i="1"/>
  <c r="A330" i="1"/>
  <c r="A331" i="1"/>
  <c r="A328" i="1"/>
  <c r="A321" i="1"/>
  <c r="A322" i="1"/>
  <c r="A323" i="1"/>
  <c r="A324" i="1"/>
  <c r="A351" i="1"/>
  <c r="A444" i="1"/>
  <c r="A445" i="1"/>
  <c r="A443" i="1"/>
  <c r="A446" i="1"/>
  <c r="A447" i="1"/>
  <c r="A332" i="1"/>
  <c r="A442" i="1"/>
  <c r="A440" i="1"/>
  <c r="A441" i="1"/>
  <c r="A408" i="1"/>
  <c r="A27" i="1"/>
  <c r="A28" i="1"/>
  <c r="A42" i="1"/>
  <c r="A43" i="1"/>
  <c r="A44" i="1"/>
  <c r="A45" i="1"/>
  <c r="A78" i="1"/>
  <c r="A114" i="1"/>
  <c r="A115" i="1"/>
  <c r="A116" i="1"/>
  <c r="A117" i="1"/>
  <c r="A118" i="1"/>
  <c r="A119" i="1"/>
  <c r="A113" i="1"/>
  <c r="A120" i="1"/>
  <c r="A121" i="1"/>
  <c r="A122" i="1"/>
  <c r="A123" i="1"/>
  <c r="A124" i="1"/>
  <c r="A125" i="1"/>
  <c r="A126" i="1"/>
  <c r="A151" i="1"/>
  <c r="A152" i="1"/>
  <c r="A155" i="1"/>
  <c r="A168" i="1"/>
  <c r="A187" i="1"/>
  <c r="A188" i="1"/>
  <c r="A192" i="1"/>
  <c r="A193" i="1"/>
  <c r="A230" i="1"/>
  <c r="A231" i="1"/>
  <c r="A277" i="1"/>
  <c r="A278" i="1"/>
  <c r="A286" i="1"/>
  <c r="A303" i="1"/>
  <c r="A341" i="1"/>
  <c r="A342" i="1"/>
  <c r="A343" i="1"/>
  <c r="A346" i="1"/>
  <c r="A350" i="1"/>
  <c r="A352" i="1"/>
  <c r="A353" i="1"/>
  <c r="A354" i="1"/>
  <c r="A356" i="1"/>
  <c r="A357" i="1"/>
  <c r="A358" i="1"/>
  <c r="A361" i="1"/>
  <c r="A362" i="1"/>
  <c r="A365" i="1"/>
  <c r="A450" i="1"/>
  <c r="A453" i="1"/>
  <c r="A454" i="1"/>
  <c r="A455" i="1"/>
  <c r="A456" i="1"/>
  <c r="A458" i="1"/>
  <c r="A459" i="1"/>
  <c r="A460" i="1"/>
  <c r="A461" i="1"/>
  <c r="A462" i="1"/>
  <c r="A463" i="1"/>
  <c r="A464" i="1"/>
  <c r="A465" i="1"/>
  <c r="A466" i="1"/>
  <c r="A457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5" i="1"/>
  <c r="A496" i="1"/>
  <c r="A497" i="1"/>
  <c r="A498" i="1"/>
  <c r="A499" i="1"/>
  <c r="A500" i="1"/>
  <c r="A501" i="1"/>
  <c r="A507" i="1"/>
  <c r="A527" i="1"/>
  <c r="A528" i="1"/>
  <c r="A529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5" i="1"/>
  <c r="A502" i="1"/>
  <c r="A531" i="1"/>
  <c r="A494" i="1"/>
  <c r="A479" i="1"/>
  <c r="A17" i="1"/>
  <c r="A18" i="1"/>
  <c r="A13" i="1"/>
  <c r="A14" i="1"/>
  <c r="A15" i="1"/>
  <c r="A16" i="1"/>
  <c r="A19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69" i="1"/>
  <c r="A170" i="1"/>
  <c r="A171" i="1"/>
  <c r="A172" i="1"/>
  <c r="A173" i="1"/>
  <c r="A201" i="1"/>
  <c r="A202" i="1"/>
  <c r="A204" i="1"/>
  <c r="A203" i="1"/>
  <c r="A205" i="1"/>
  <c r="A206" i="1"/>
  <c r="A213" i="1"/>
  <c r="A211" i="1"/>
  <c r="A212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65" i="1"/>
  <c r="A266" i="1"/>
  <c r="A267" i="1"/>
  <c r="A268" i="1"/>
  <c r="A269" i="1"/>
  <c r="A270" i="1"/>
  <c r="A271" i="1"/>
  <c r="A272" i="1"/>
  <c r="A273" i="1"/>
  <c r="A274" i="1"/>
  <c r="A275" i="1"/>
  <c r="A292" i="1"/>
  <c r="A293" i="1"/>
  <c r="A294" i="1"/>
  <c r="A295" i="1"/>
  <c r="A296" i="1"/>
  <c r="A297" i="1"/>
  <c r="A298" i="1"/>
  <c r="A416" i="1"/>
  <c r="A431" i="1"/>
  <c r="A432" i="1"/>
  <c r="A433" i="1"/>
  <c r="A434" i="1"/>
  <c r="A435" i="1"/>
  <c r="A436" i="1"/>
  <c r="A437" i="1"/>
  <c r="A438" i="1"/>
  <c r="A439" i="1"/>
  <c r="A451" i="1"/>
  <c r="A503" i="1"/>
  <c r="A505" i="1"/>
  <c r="A409" i="1"/>
  <c r="A10" i="1"/>
  <c r="A11" i="1"/>
  <c r="A20" i="1"/>
  <c r="A33" i="1"/>
  <c r="A35" i="1"/>
  <c r="A47" i="1"/>
  <c r="A48" i="1"/>
  <c r="A50" i="1"/>
  <c r="A51" i="1"/>
  <c r="A52" i="1"/>
  <c r="A60" i="1"/>
  <c r="A61" i="1"/>
  <c r="A64" i="1"/>
  <c r="A65" i="1"/>
  <c r="A75" i="1"/>
  <c r="A79" i="1"/>
  <c r="A82" i="1"/>
  <c r="A83" i="1"/>
  <c r="A84" i="1"/>
  <c r="A85" i="1"/>
  <c r="A86" i="1"/>
  <c r="A87" i="1"/>
  <c r="A88" i="1"/>
  <c r="A89" i="1"/>
  <c r="A90" i="1"/>
  <c r="A91" i="1"/>
  <c r="A92" i="1"/>
  <c r="A306" i="1"/>
  <c r="A93" i="1"/>
  <c r="A94" i="1"/>
  <c r="A103" i="1"/>
  <c r="A104" i="1"/>
  <c r="A153" i="1"/>
  <c r="A154" i="1"/>
  <c r="A160" i="1"/>
  <c r="A161" i="1"/>
  <c r="A162" i="1"/>
  <c r="A163" i="1"/>
  <c r="A178" i="1"/>
  <c r="A179" i="1"/>
  <c r="A180" i="1"/>
  <c r="A181" i="1"/>
  <c r="A184" i="1"/>
  <c r="A185" i="1"/>
  <c r="A186" i="1"/>
  <c r="A189" i="1"/>
  <c r="A190" i="1"/>
  <c r="A207" i="1"/>
  <c r="A208" i="1"/>
  <c r="A209" i="1"/>
  <c r="A210" i="1"/>
  <c r="A217" i="1"/>
  <c r="A218" i="1"/>
  <c r="A260" i="1"/>
  <c r="A261" i="1"/>
  <c r="A262" i="1"/>
  <c r="A264" i="1"/>
  <c r="A276" i="1"/>
  <c r="A285" i="1"/>
  <c r="A287" i="1"/>
  <c r="A289" i="1"/>
  <c r="A299" i="1"/>
  <c r="A315" i="1"/>
  <c r="A316" i="1"/>
  <c r="A317" i="1"/>
  <c r="A318" i="1"/>
  <c r="A319" i="1"/>
  <c r="A320" i="1"/>
  <c r="A325" i="1"/>
  <c r="A326" i="1"/>
  <c r="A327" i="1"/>
  <c r="A333" i="1"/>
  <c r="A334" i="1"/>
  <c r="A335" i="1"/>
  <c r="A336" i="1"/>
  <c r="A337" i="1"/>
  <c r="A345" i="1"/>
  <c r="A344" i="1"/>
  <c r="A360" i="1"/>
  <c r="A363" i="1"/>
  <c r="A364" i="1"/>
  <c r="A370" i="1"/>
  <c r="A371" i="1"/>
  <c r="A372" i="1"/>
  <c r="A374" i="1"/>
  <c r="A379" i="1"/>
  <c r="A381" i="1"/>
  <c r="A392" i="1"/>
  <c r="A403" i="1"/>
  <c r="A406" i="1"/>
  <c r="A410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49" i="1"/>
  <c r="A509" i="1"/>
  <c r="A523" i="1"/>
  <c r="A525" i="1"/>
  <c r="A526" i="1"/>
  <c r="A547" i="1"/>
  <c r="A548" i="1"/>
  <c r="A549" i="1"/>
  <c r="A550" i="1"/>
  <c r="A524" i="1"/>
  <c r="A522" i="1"/>
  <c r="A23" i="1"/>
  <c r="A355" i="1"/>
  <c r="A452" i="1"/>
  <c r="A504" i="1"/>
  <c r="A506" i="1"/>
  <c r="A191" i="1"/>
  <c r="A12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I3" i="1"/>
  <c r="I4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6" i="1"/>
  <c r="I7" i="1"/>
  <c r="I109" i="1"/>
  <c r="I110" i="1"/>
  <c r="I111" i="1"/>
  <c r="I112" i="1"/>
  <c r="I113" i="1"/>
  <c r="I114" i="1"/>
  <c r="I115" i="1"/>
  <c r="I116" i="1"/>
  <c r="I117" i="1"/>
  <c r="I14" i="1"/>
  <c r="I118" i="1"/>
  <c r="I119" i="1"/>
  <c r="I120" i="1"/>
  <c r="I121" i="1"/>
  <c r="I122" i="1"/>
  <c r="I123" i="1"/>
  <c r="I124" i="1"/>
  <c r="I22" i="1"/>
  <c r="I125" i="1"/>
  <c r="I126" i="1"/>
  <c r="I127" i="1"/>
  <c r="I128" i="1"/>
  <c r="I129" i="1"/>
  <c r="I130" i="1"/>
  <c r="I131" i="1"/>
  <c r="I132" i="1"/>
  <c r="I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2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0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5" i="1"/>
  <c r="I442" i="1"/>
  <c r="I443" i="1"/>
  <c r="I444" i="1"/>
  <c r="I445" i="1"/>
  <c r="I446" i="1"/>
  <c r="I15" i="1"/>
  <c r="I447" i="1"/>
  <c r="I448" i="1"/>
  <c r="I449" i="1"/>
  <c r="I450" i="1"/>
  <c r="I451" i="1"/>
  <c r="I16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11" i="1"/>
  <c r="I8" i="1"/>
  <c r="I488" i="1"/>
  <c r="I489" i="1"/>
  <c r="I490" i="1"/>
  <c r="I491" i="1"/>
  <c r="I492" i="1"/>
  <c r="I493" i="1"/>
  <c r="I494" i="1"/>
  <c r="I17" i="1"/>
  <c r="I495" i="1"/>
  <c r="I496" i="1"/>
  <c r="I497" i="1"/>
  <c r="I498" i="1"/>
  <c r="I499" i="1"/>
  <c r="I500" i="1"/>
  <c r="I501" i="1"/>
  <c r="I502" i="1"/>
  <c r="I18" i="1"/>
  <c r="I19" i="1"/>
  <c r="I503" i="1"/>
  <c r="I504" i="1"/>
  <c r="I505" i="1"/>
  <c r="I506" i="1"/>
  <c r="I507" i="1"/>
  <c r="I508" i="1"/>
  <c r="I509" i="1"/>
  <c r="I510" i="1"/>
  <c r="I511" i="1"/>
  <c r="I550" i="1"/>
  <c r="I512" i="1"/>
  <c r="I513" i="1"/>
  <c r="I514" i="1"/>
  <c r="I515" i="1"/>
  <c r="I516" i="1"/>
  <c r="I517" i="1"/>
  <c r="I13" i="1"/>
  <c r="I518" i="1"/>
  <c r="I519" i="1"/>
  <c r="I520" i="1"/>
  <c r="I521" i="1"/>
  <c r="I20" i="1"/>
  <c r="I522" i="1"/>
  <c r="I523" i="1"/>
  <c r="I524" i="1"/>
  <c r="I525" i="1"/>
  <c r="I526" i="1"/>
  <c r="I23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21" i="1"/>
  <c r="I540" i="1"/>
  <c r="I541" i="1"/>
  <c r="I542" i="1"/>
  <c r="I543" i="1"/>
  <c r="I544" i="1"/>
  <c r="I545" i="1"/>
  <c r="I546" i="1"/>
  <c r="I547" i="1"/>
  <c r="I548" i="1"/>
  <c r="I549" i="1"/>
  <c r="B69" i="19"/>
  <c r="B45" i="19"/>
  <c r="B33" i="19"/>
  <c r="B21" i="19"/>
  <c r="B20" i="19"/>
  <c r="G114" i="3"/>
  <c r="G116" i="3"/>
  <c r="B116" i="19" s="1"/>
  <c r="G113" i="3"/>
  <c r="B113" i="19" s="1"/>
  <c r="G117" i="3"/>
  <c r="B117" i="19" s="1"/>
  <c r="G119" i="3" l="1"/>
  <c r="G120" i="3"/>
  <c r="G108" i="3"/>
  <c r="B108" i="19" s="1"/>
  <c r="G96" i="3"/>
  <c r="B96" i="19" s="1"/>
  <c r="G84" i="3"/>
  <c r="B84" i="19" s="1"/>
  <c r="G72" i="3"/>
  <c r="B72" i="19" s="1"/>
  <c r="G60" i="3"/>
  <c r="B60" i="19" s="1"/>
  <c r="G48" i="3"/>
  <c r="B48" i="19" s="1"/>
  <c r="G24" i="3"/>
  <c r="B24" i="19" s="1"/>
  <c r="G12" i="3"/>
  <c r="B12" i="19" s="1"/>
  <c r="G107" i="3"/>
  <c r="B107" i="19" s="1"/>
  <c r="G95" i="3"/>
  <c r="B95" i="19" s="1"/>
  <c r="G115" i="3"/>
  <c r="B115" i="19" s="1"/>
  <c r="G111" i="3"/>
  <c r="B111" i="19" s="1"/>
  <c r="G83" i="3"/>
  <c r="B83" i="19" s="1"/>
  <c r="G71" i="3"/>
  <c r="G59" i="3"/>
  <c r="B59" i="19" s="1"/>
  <c r="G47" i="3"/>
  <c r="B47" i="19" s="1"/>
  <c r="G35" i="3"/>
  <c r="B35" i="19" s="1"/>
  <c r="G23" i="3"/>
  <c r="B23" i="19" s="1"/>
  <c r="G11" i="3"/>
  <c r="B11" i="19" s="1"/>
  <c r="G101" i="3"/>
  <c r="B101" i="19" s="1"/>
  <c r="G89" i="3"/>
  <c r="B89" i="19" s="1"/>
  <c r="G77" i="3"/>
  <c r="B77" i="19" s="1"/>
  <c r="G65" i="3"/>
  <c r="B65" i="19" s="1"/>
  <c r="G53" i="3"/>
  <c r="B53" i="19" s="1"/>
  <c r="G41" i="3"/>
  <c r="B41" i="19" s="1"/>
  <c r="G29" i="3"/>
  <c r="B29" i="19" s="1"/>
  <c r="G17" i="3"/>
  <c r="B17" i="19" s="1"/>
  <c r="B71" i="19"/>
  <c r="B118" i="19"/>
  <c r="B19" i="19"/>
  <c r="B119" i="19"/>
  <c r="B110" i="19"/>
  <c r="B120" i="19"/>
  <c r="B70" i="19"/>
  <c r="B18" i="19"/>
  <c r="B94" i="19"/>
  <c r="B11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tc={084AB604-7E76-44EB-B366-1C6DA7A5794C}</author>
    <author>tc={866FF06B-C3BB-4D92-B181-236AAE17272A}</author>
    <author>tc={FA3D804E-FFC1-450D-8DE6-F4DEA6EADC5B}</author>
  </authors>
  <commentList>
    <comment ref="F113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Atualizado em 12/12/25</t>
      </text>
    </comment>
    <comment ref="F114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Atualizado em 12/12/25</t>
      </text>
    </comment>
    <comment ref="F115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Atualizado em 12/12/25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PML\OneDrive\Área de Trabalho\almoxarifado online\sala 01.xlsx" keepAlive="1" name="sala 011" type="5" refreshedVersion="5" background="1" saveData="1">
    <dbPr connection="Provider=Microsoft.ACE.OLEDB.12.0;User ID=Admin;Data Source=C:\Users\PML\OneDrive\Área de Trabalho\almoxarifado online\sala 01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lanilha1$" commandType="3"/>
  </connection>
  <connection id="2" xr16:uid="{00000000-0015-0000-FFFF-FFFF01000000}" sourceFile="C:\Users\PML\OneDrive\Área de Trabalho\almoxarifado online\sala 02.xlsx" keepAlive="1" name="sala 021" type="5" refreshedVersion="5" background="1" saveData="1">
    <dbPr connection="Provider=Microsoft.ACE.OLEDB.12.0;User ID=Admin;Data Source=C:\Users\PML\OneDrive\Área de Trabalho\almoxarifado online\sala 02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lanilha1$" commandType="3"/>
  </connection>
  <connection id="3" xr16:uid="{00000000-0015-0000-FFFF-FFFF02000000}" sourceFile="C:\Users\PML\OneDrive\Área de Trabalho\almoxarifado online\sala 06.xlsx" keepAlive="1" name="sala 061" type="5" refreshedVersion="5" background="1" saveData="1">
    <dbPr connection="Provider=Microsoft.ACE.OLEDB.12.0;User ID=Admin;Data Source=C:\Users\PML\OneDrive\Área de Trabalho\almoxarifado online\sala 06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lanilha1$" commandType="3"/>
  </connection>
  <connection id="4" xr16:uid="{00000000-0015-0000-FFFF-FFFF03000000}" sourceFile="C:\Users\PML\OneDrive\Área de Trabalho\almoxarifado online\sala 07.xlsx" keepAlive="1" name="sala 071" type="5" refreshedVersion="5" background="1" saveData="1">
    <dbPr connection="Provider=Microsoft.ACE.OLEDB.12.0;User ID=Admin;Data Source=C:\Users\PML\OneDrive\Área de Trabalho\almoxarifado online\sala 07.xlsx;Mode=Share Deny Write;Extended Properties=&quot;HDR=NO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lanilha1$" commandType="3"/>
  </connection>
  <connection id="5" xr16:uid="{00000000-0015-0000-FFFF-FFFF04000000}" sourceFile="C:\Users\PML\OneDrive\Área de Trabalho\almoxarifado online\sala 08.xlsx" keepAlive="1" name="sala 081" type="5" refreshedVersion="5" background="1" saveData="1">
    <dbPr connection="Provider=Microsoft.ACE.OLEDB.12.0;User ID=Admin;Data Source=C:\Users\PML\OneDrive\Área de Trabalho\almoxarifado online\sala 08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lanilha1$" commandType="3"/>
  </connection>
</connections>
</file>

<file path=xl/sharedStrings.xml><?xml version="1.0" encoding="utf-8"?>
<sst xmlns="http://schemas.openxmlformats.org/spreadsheetml/2006/main" count="1998" uniqueCount="806">
  <si>
    <t>MAIS SAIU  NO MÊS</t>
  </si>
  <si>
    <t xml:space="preserve">produtos </t>
  </si>
  <si>
    <t>CLAS.</t>
  </si>
  <si>
    <t>vencimento</t>
  </si>
  <si>
    <t>SAÍDA</t>
  </si>
  <si>
    <t>ESTOQUE</t>
  </si>
  <si>
    <t>ENTRADA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</si>
  <si>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</si>
  <si>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</si>
  <si>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</si>
  <si>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</si>
  <si>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</si>
  <si>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</si>
  <si>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</si>
  <si>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</si>
  <si>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</si>
  <si>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</si>
  <si>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</si>
  <si>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</si>
  <si>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</si>
  <si>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</si>
  <si>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</si>
  <si>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</si>
  <si>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</si>
  <si>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</si>
  <si>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</si>
  <si>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</si>
  <si>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</si>
  <si>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</si>
  <si>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</si>
  <si>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</si>
  <si>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</si>
  <si>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</si>
  <si>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</si>
  <si>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</si>
  <si>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</si>
  <si>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</si>
  <si>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</si>
  <si>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</si>
  <si>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 CLOREXIDINA degermante 2%</t>
  </si>
  <si>
    <t>LT</t>
  </si>
  <si>
    <t xml:space="preserve"> digluconato de clorexidina 0,5%</t>
  </si>
  <si>
    <t>ABAIXADORES P/LÍNGUA</t>
  </si>
  <si>
    <t>UND</t>
  </si>
  <si>
    <t>ADESIVO P/ FIXAÇÃO  DE DISPOSITIVOS INTRAVENOSOS</t>
  </si>
  <si>
    <t>AGENDA PERMANENTE</t>
  </si>
  <si>
    <t>NULO</t>
  </si>
  <si>
    <t>AGENDAMENTO DE CONSULTA</t>
  </si>
  <si>
    <t xml:space="preserve">ÁGUA OXIGENADA </t>
  </si>
  <si>
    <t>ÁGUA P/ INJEÇÃO</t>
  </si>
  <si>
    <t>ÁGUA SANITÁRIA  2lt</t>
  </si>
  <si>
    <t>ÁGUA SANITÁRIA 1lt</t>
  </si>
  <si>
    <t>ÁGUA SANITÁRIA 2L</t>
  </si>
  <si>
    <t>AGULHA  HIPODÉRMICA25x0,6 C/100</t>
  </si>
  <si>
    <t>CX</t>
  </si>
  <si>
    <t>AGULHA  HIPODÉRMICA25x7 C/100</t>
  </si>
  <si>
    <t>AGULHA  HIPODÉRMICA25X8 C/100</t>
  </si>
  <si>
    <t>AGULHA  HIPODÉRMICA40X12 C/100</t>
  </si>
  <si>
    <t>AGULHA HIPODÉRMICA 13x45 C/100</t>
  </si>
  <si>
    <t>AGULHA HIPODÉRMICA 20X55 C/100</t>
  </si>
  <si>
    <t>AGULHA P/ GLICOSE (LANCETA)</t>
  </si>
  <si>
    <t>ÁLCOOL 70%</t>
  </si>
  <si>
    <t>ÁLCOOL 99% HOSPITALAR</t>
  </si>
  <si>
    <t>ÁLCOOL IODADO (POLVIDINE TÓPICO)</t>
  </si>
  <si>
    <t>ÁLCOOOL EM GEL 70%</t>
  </si>
  <si>
    <t>ALFINETE COM CABEÇA</t>
  </si>
  <si>
    <t>ALFINETE COMUM</t>
  </si>
  <si>
    <t>ALGODÃO HIDROFILO</t>
  </si>
  <si>
    <t>ALGODÃO ORTOPEDICO 10CM</t>
  </si>
  <si>
    <t>ALGODÃO ORTOPEDICO 20CM</t>
  </si>
  <si>
    <t>ALMOFADA PARA CARIMBO</t>
  </si>
  <si>
    <t>ALMOTOLIA 250 ML</t>
  </si>
  <si>
    <t>ALMOTOLIA 500 ML</t>
  </si>
  <si>
    <t>AMACIANTE</t>
  </si>
  <si>
    <t>Aparelho MEDIDOR GLICOSE (GLICOSÍMETRO)</t>
  </si>
  <si>
    <t>ARQUIVO</t>
  </si>
  <si>
    <t xml:space="preserve">ATADURA CREPE 10cm </t>
  </si>
  <si>
    <t>ATADURA CREPE 15cm</t>
  </si>
  <si>
    <t>ATADURA CREPE 20cm</t>
  </si>
  <si>
    <t>ATADURA DE ALGODÃO 10CM</t>
  </si>
  <si>
    <t>ATADURA DE ALGODÃO 15CM</t>
  </si>
  <si>
    <t>ATADURA DE ALGODÃO 20CM</t>
  </si>
  <si>
    <t>PCT</t>
  </si>
  <si>
    <t>ATADURA GESSADA 12X300</t>
  </si>
  <si>
    <t>ATADURA GESSADA 15X300</t>
  </si>
  <si>
    <t>ATADURA GESSADA 20CM X 4M</t>
  </si>
  <si>
    <t>ATADURA GESSADA 8CMX2M</t>
  </si>
  <si>
    <t>AVENTAL CIRÚRGICO G</t>
  </si>
  <si>
    <t>un</t>
  </si>
  <si>
    <t>AVENTAL PVC</t>
  </si>
  <si>
    <t>BALANÇA</t>
  </si>
  <si>
    <t>BALÃO SORTIDO</t>
  </si>
  <si>
    <t>BALDE G</t>
  </si>
  <si>
    <t>BALDE P</t>
  </si>
  <si>
    <t>BANCO C/ROTINHA ACENDO GIRADORIO</t>
  </si>
  <si>
    <t>BARBANTE PEQUENO</t>
  </si>
  <si>
    <t>BATERIA CR 1620</t>
  </si>
  <si>
    <t>BATERIA CR 2016</t>
  </si>
  <si>
    <t>BATERIA CR 2025</t>
  </si>
  <si>
    <t>BATERIA CR 2032 ( GLICOSIMêTRO )</t>
  </si>
  <si>
    <t>dez-28</t>
  </si>
  <si>
    <t>BATERIA CR 2450</t>
  </si>
  <si>
    <t>jan-26</t>
  </si>
  <si>
    <t>BATERIA LR 1154</t>
  </si>
  <si>
    <t>BEBEDOURO</t>
  </si>
  <si>
    <t>BIOFRASCO 300ML</t>
  </si>
  <si>
    <t>BIOFRASCO 500ML</t>
  </si>
  <si>
    <t>BOBINA GRANDE</t>
  </si>
  <si>
    <t>BOBINA MED.</t>
  </si>
  <si>
    <t>BOBINA P/ ESTERELIZAÇÃO  15X100</t>
  </si>
  <si>
    <t>BOBINA P/ ESTERELIZAÇÃO  80X100</t>
  </si>
  <si>
    <t>RL</t>
  </si>
  <si>
    <t>BOBINA P/ ESTERELIZAÇÃO 25X100</t>
  </si>
  <si>
    <t>BOBINA P/ ESTERILIZAÇÃO  150X100</t>
  </si>
  <si>
    <t>BOBINA P/ ESTERILIZAÇÃO  300X100</t>
  </si>
  <si>
    <t>BOBINA P/ ESTERILIZAÇÃO 100X100</t>
  </si>
  <si>
    <t>BOBINA P/ ESTERILIZAÇÃO 20X100</t>
  </si>
  <si>
    <t>BOBINA P/ ESTERILIZAÇÃO 250X10</t>
  </si>
  <si>
    <t>BOBINA P/ ESTERILIZAÇÃO 50X100</t>
  </si>
  <si>
    <t>BOBINA PEQ.</t>
  </si>
  <si>
    <t>BOLETIM DE ATENDIMENTO DE URGÊNCIA</t>
  </si>
  <si>
    <t>BLS</t>
  </si>
  <si>
    <t xml:space="preserve">BOLETIM DE ATENDIMENTO DIÁRIO </t>
  </si>
  <si>
    <t>BOLSA COLETORA DE URINA</t>
  </si>
  <si>
    <t>BOM AR</t>
  </si>
  <si>
    <t>BORRACHA</t>
  </si>
  <si>
    <t>abr-27</t>
  </si>
  <si>
    <t>BORRACHA PONTEIRA</t>
  </si>
  <si>
    <t>BORRIFADOR</t>
  </si>
  <si>
    <t>BOTA BORR. 35 cano curdo</t>
  </si>
  <si>
    <t>BOTA BORR. 40 cano curdo</t>
  </si>
  <si>
    <t>BOTA BORR.39 CANO CURTO</t>
  </si>
  <si>
    <t>BOTA BORRACHA 34/35</t>
  </si>
  <si>
    <t>BOTA BORRACHA 36</t>
  </si>
  <si>
    <t>BOTA BORRACHA 37</t>
  </si>
  <si>
    <t>BOTA BORRACHA 38</t>
  </si>
  <si>
    <t>BOTA BORRACHA 41</t>
  </si>
  <si>
    <t>BOTA BORRACHA 43</t>
  </si>
  <si>
    <t>BOTA BORRACHA 44</t>
  </si>
  <si>
    <t>CADEIRA COLETORA DE SANGUE</t>
  </si>
  <si>
    <t>CADEIRA UNIVERSITÁRIA</t>
  </si>
  <si>
    <t>CADERNO BROCHURA 96 FLS</t>
  </si>
  <si>
    <t>CADERNO BROCHURA ATA  100 FLS</t>
  </si>
  <si>
    <t>CADERNO BROCHURA ATA  200 FLS</t>
  </si>
  <si>
    <t>CADERNO BROCHURA ATA  50 FLS</t>
  </si>
  <si>
    <t>CADERNO BROCHURA CAP. DURA (grande) 96 FLS</t>
  </si>
  <si>
    <t>CADERNO PEQUENO 48FLHS</t>
  </si>
  <si>
    <t>CADERNO PROTOCOLO</t>
  </si>
  <si>
    <t>CAIXA BOX</t>
  </si>
  <si>
    <t>Caixa térmica G (para vacina)</t>
  </si>
  <si>
    <t>Caixa térmica P (para vacina)</t>
  </si>
  <si>
    <t>CALCULADORA</t>
  </si>
  <si>
    <t>CANETA AZUL</t>
  </si>
  <si>
    <t>CANETA PARA RETROPROJETOR AZUL</t>
  </si>
  <si>
    <t>CANETA PARA RETROPROJETOR PRETA</t>
  </si>
  <si>
    <t>CANETA PARA RETROPROJETOR VERMELHA</t>
  </si>
  <si>
    <t>CANETA PRETA</t>
  </si>
  <si>
    <t>CANETA VERMELHA</t>
  </si>
  <si>
    <t>CANETA VERMELHA PONTA FINA</t>
  </si>
  <si>
    <t>CÂNULA DE GUEDEL 0</t>
  </si>
  <si>
    <t>CÂNULA DE GUEDEL 00</t>
  </si>
  <si>
    <t>CÂNULA DE GUEDEL 1</t>
  </si>
  <si>
    <t>CÂNULA DE GUEDEL 2</t>
  </si>
  <si>
    <t>CÂNULA DE GUEDEL 3</t>
  </si>
  <si>
    <t>CÂNULA DE GUEDEL 5</t>
  </si>
  <si>
    <t>CÂNULA DE GUEDEL 6</t>
  </si>
  <si>
    <t>CÂNULA DE TRAQUEOSTOMIA</t>
  </si>
  <si>
    <t>CÂNULA DE TRAQUEOSTOMIA COM BALÃO Nº 5</t>
  </si>
  <si>
    <t>CÂNULA DE TRAQUEOSTOMIA COM BALÃO Nº 6</t>
  </si>
  <si>
    <t>CÂNULA DE TRAQUEOSTOMIA COM BALÃO Nº 7.5</t>
  </si>
  <si>
    <t>CÂNULA DE TRAQUEOSTOMIA COM BALÃO Nº 8</t>
  </si>
  <si>
    <t>CÂNULA DE TRAQUEOSTOMIA COM BALÃO Nº 8.5</t>
  </si>
  <si>
    <t>CÂNULA DE TRAQUEOSTOMIA Nº 5 LATÃO CROMADO</t>
  </si>
  <si>
    <t>capa para  encardenar azul</t>
  </si>
  <si>
    <t>capa para encardenar preta</t>
  </si>
  <si>
    <t>CARTOLINA BRANCA</t>
  </si>
  <si>
    <t xml:space="preserve">CARTOLINA COLORIDA </t>
  </si>
  <si>
    <t>CARTOLINA DOURADA</t>
  </si>
  <si>
    <t>CARTOLINA PRATA</t>
  </si>
  <si>
    <t>CATEGUTE CROMADO 2</t>
  </si>
  <si>
    <t>CATEGUTE CROMADO 3</t>
  </si>
  <si>
    <t>CATEGUTE CROMADO 4</t>
  </si>
  <si>
    <t>CATEGUTE SIMPLES 2</t>
  </si>
  <si>
    <t>CATEGUTE SIMPLES 3</t>
  </si>
  <si>
    <t>CATEGUTE SIMPLES 4</t>
  </si>
  <si>
    <t>CATEGUTE SIMPLES 5</t>
  </si>
  <si>
    <t>CATETER INTRAVENOSO 16</t>
  </si>
  <si>
    <t>CATETER INTRAVENOSO 18</t>
  </si>
  <si>
    <t>CATETER INTRAVENOSO N°20</t>
  </si>
  <si>
    <t>CATETER INTRAVENOSO SIMPLES 24G</t>
  </si>
  <si>
    <t>CATETER PÉRIFERICO 14 G</t>
  </si>
  <si>
    <t>CATETER PERIFÉRICO 16 G</t>
  </si>
  <si>
    <t>CATETER PERIFÉRICO 18 G</t>
  </si>
  <si>
    <t>CATETER PERIFÉRICO 20G</t>
  </si>
  <si>
    <t>CATETER PERIFÉRICO 22G</t>
  </si>
  <si>
    <t>CATETER PERIFÉRICO 22G (PONTA AZUL)</t>
  </si>
  <si>
    <t>CATETER PERIFÉRICO 24G</t>
  </si>
  <si>
    <t>CATETER TIPO ÓCULOS (INFANTIL)</t>
  </si>
  <si>
    <t>CATETER TIPO ÓCULOS P/OXIGENEO (USO ADULTO)</t>
  </si>
  <si>
    <t xml:space="preserve">CESTO DE LIXO C/ TAMPA </t>
  </si>
  <si>
    <t>CESTO DE LIXO C/PEDAL</t>
  </si>
  <si>
    <t>CLAMP UMBILICAL</t>
  </si>
  <si>
    <t>CLIPS 8/0 (e.g.)</t>
  </si>
  <si>
    <t>CLIPS Nº 2 (p)</t>
  </si>
  <si>
    <t>CLIPS Nº 4 (m)</t>
  </si>
  <si>
    <t>CLIPS Nº 6 (G)</t>
  </si>
  <si>
    <t>CLORO</t>
  </si>
  <si>
    <t>COADOR G</t>
  </si>
  <si>
    <t>COADOR M</t>
  </si>
  <si>
    <t>COADOR P</t>
  </si>
  <si>
    <t>COLA BASTÃO 10G</t>
  </si>
  <si>
    <t>COLA BRANCA 90G</t>
  </si>
  <si>
    <t>COLA QUENTE GROSSA</t>
  </si>
  <si>
    <t xml:space="preserve">COLA QUENTE MENOR </t>
  </si>
  <si>
    <t>COLAR CERVICAL MEDIO</t>
  </si>
  <si>
    <t>COLETOR C/ PÁ 80 ML</t>
  </si>
  <si>
    <t>COLETOR DE MATERIAL PERFUROCORTANTE 13L</t>
  </si>
  <si>
    <t>COLETOR DE MATERIAL PERFUROCORTANTE 20L</t>
  </si>
  <si>
    <t xml:space="preserve">COLETOR DE MATERIAL PERFUROCORTANTE 7L  </t>
  </si>
  <si>
    <t>COLETOR S/ PÁ 50ML</t>
  </si>
  <si>
    <t>COMPRESSA DE GASE (C/ CADARÇO ou campo operatorio)</t>
  </si>
  <si>
    <t>COMPRESSA DE GASE (QUEIJO)9 FIOS</t>
  </si>
  <si>
    <t xml:space="preserve">COMPRESSA DE GAZE </t>
  </si>
  <si>
    <t>COMPRESSA DE GAZE 7,5cmx7,5cm ( estéreo)</t>
  </si>
  <si>
    <t>COPO AMERICANO</t>
  </si>
  <si>
    <t>COPO DE ISOPOR</t>
  </si>
  <si>
    <t>COPO DESCARTÁVEL</t>
  </si>
  <si>
    <t>CORDA DE VARAL</t>
  </si>
  <si>
    <t>CORRETIVO LÍQUIDO</t>
  </si>
  <si>
    <t>CREME PREVENTIVO</t>
  </si>
  <si>
    <t>DESCAPARCK 13 lt</t>
  </si>
  <si>
    <t>DESCARPACK 20lt</t>
  </si>
  <si>
    <t>descarpak 7LT</t>
  </si>
  <si>
    <t xml:space="preserve">DESINCRUSTANDE LÍQUIDO </t>
  </si>
  <si>
    <t>DESINCRUSTANDO em pó</t>
  </si>
  <si>
    <t xml:space="preserve">DESINFETANTE </t>
  </si>
  <si>
    <t>DETERGENTE</t>
  </si>
  <si>
    <t>detergente 500 ml</t>
  </si>
  <si>
    <t>DRENO DE PENROSE 01</t>
  </si>
  <si>
    <t xml:space="preserve">DRENO DE PENROSE 02 </t>
  </si>
  <si>
    <t xml:space="preserve">ELÁSTICA </t>
  </si>
  <si>
    <t>ELETRODO C/50</t>
  </si>
  <si>
    <t>ENVELOPE (A4)</t>
  </si>
  <si>
    <t>ENVELOPE BRANCO 260 X 360</t>
  </si>
  <si>
    <t>ENVELOPE BRANCO CARTA</t>
  </si>
  <si>
    <t>ENVELOPE PARDO 200 X 270</t>
  </si>
  <si>
    <t xml:space="preserve">ENVELOPE PEQUENO 176 X 250 </t>
  </si>
  <si>
    <t>equipo câmara  15mic injlate gc</t>
  </si>
  <si>
    <t>equipo de nutrição enteral</t>
  </si>
  <si>
    <t>EQUIPO MACROGOTAS-COMPLETO</t>
  </si>
  <si>
    <t>EQUIPO micro c/ BURETA</t>
  </si>
  <si>
    <t>EQUIPO MULTIVIAS C/CLAMP</t>
  </si>
  <si>
    <t xml:space="preserve">equipo tonteira 3 vias luer simples </t>
  </si>
  <si>
    <t xml:space="preserve">ESCADA 3 DEGRAUS </t>
  </si>
  <si>
    <t>ESCOVA DE BANHEIRO</t>
  </si>
  <si>
    <t>ESCOVA DE LAVAR</t>
  </si>
  <si>
    <t>ESCOVA DE LAVAR PEQ.</t>
  </si>
  <si>
    <t>ESFIGMOMANÔMETRO adulto</t>
  </si>
  <si>
    <t>ESFIGMOMANÔMETRO INFANTIL ( AP. DE PRESSÃO)</t>
  </si>
  <si>
    <t xml:space="preserve">ESFIGMOMANÔMETRO obeso </t>
  </si>
  <si>
    <t>ESPARADRAPO IMPERMEÁVEL 5X4,5</t>
  </si>
  <si>
    <t>ESPARADRAPOS 10CMX4,5</t>
  </si>
  <si>
    <t>ESPARADRAPOS 5CMX4,5</t>
  </si>
  <si>
    <t>ESPONJA DE LÃ DE AÇO</t>
  </si>
  <si>
    <t>ESPONJA MULTIUSO</t>
  </si>
  <si>
    <t xml:space="preserve">ESTETOSCÓPIO </t>
  </si>
  <si>
    <t>ESTILETE C/12 LÂMINA MAIOR</t>
  </si>
  <si>
    <t>ESTILETE C/12 LÂMINA MENOR</t>
  </si>
  <si>
    <t>ETER 1LT</t>
  </si>
  <si>
    <t>ETER ALCOLIZADO 35%</t>
  </si>
  <si>
    <t>EVA COM BRILHO</t>
  </si>
  <si>
    <t>EVA LISO</t>
  </si>
  <si>
    <t>EXTRATOR DE GRAMPO C/12</t>
  </si>
  <si>
    <t>filme laser dray pro 20.2X25.3</t>
  </si>
  <si>
    <t>pct</t>
  </si>
  <si>
    <t>filme laser dray pro 25.4X3.5</t>
  </si>
  <si>
    <t>filme laser dray pro20.3X25.4</t>
  </si>
  <si>
    <t>FILTRO BAC. VIRAL c/ TRAQ.</t>
  </si>
  <si>
    <t>FILTRO BAC. VIRAL C/TRAQ. ADULTO</t>
  </si>
  <si>
    <t xml:space="preserve">FIO AGULHA NYLON N°0/20 </t>
  </si>
  <si>
    <t xml:space="preserve">FIO AGULHA NYLON N°1/30 </t>
  </si>
  <si>
    <t xml:space="preserve">FIO AGULHA NYLON N°2/20 </t>
  </si>
  <si>
    <t>FIO AGULHA NYLON N°2/25</t>
  </si>
  <si>
    <t>FIO AGULHA NYLON N°4/30</t>
  </si>
  <si>
    <t xml:space="preserve">FIO AGULHA NYLON N°5/20 </t>
  </si>
  <si>
    <t>FIO AGULHA NYLON N°5/25</t>
  </si>
  <si>
    <t>FIO AGULHA NYLON N°6/25</t>
  </si>
  <si>
    <t xml:space="preserve">FIO DE SUTURA 3x25 </t>
  </si>
  <si>
    <t>FIO DE SUTURA 4X24</t>
  </si>
  <si>
    <t>FIO DE SUTURA N°4X30</t>
  </si>
  <si>
    <t>FIO P/SUTURA 2x30</t>
  </si>
  <si>
    <t xml:space="preserve">FIO P/SUTURA 3X20 </t>
  </si>
  <si>
    <t>FIO P/SUTURA 4x20</t>
  </si>
  <si>
    <t>FITA CIRÚRGICA MICROPOROSA  10CM</t>
  </si>
  <si>
    <t>FITA CIRÚRGICA MICROPOROSA 05CM</t>
  </si>
  <si>
    <t xml:space="preserve">FITA CREPE </t>
  </si>
  <si>
    <t>FITA CREPE HOSPITALAR 19/50</t>
  </si>
  <si>
    <t>FITA CREPE ZEBRADA P/ AUTOCLAVE</t>
  </si>
  <si>
    <t>FITA DUPLAFACE</t>
  </si>
  <si>
    <t>FITA DUREX 12MMM X 30 M</t>
  </si>
  <si>
    <t>FITA DUREX COLORIDO</t>
  </si>
  <si>
    <t>FITA DUREX FINA</t>
  </si>
  <si>
    <t>FITA DUREX LARGA</t>
  </si>
  <si>
    <t>FITA DUREX MÉDIA</t>
  </si>
  <si>
    <t>FITA METRICA</t>
  </si>
  <si>
    <t xml:space="preserve">FITA P/ GLICOSE </t>
  </si>
  <si>
    <t>FIXADOR CELULAR</t>
  </si>
  <si>
    <t>FLANELA</t>
  </si>
  <si>
    <t>FOGÃO</t>
  </si>
  <si>
    <t>FORMOL 37% 1 LT</t>
  </si>
  <si>
    <t>FÓSFORO</t>
  </si>
  <si>
    <t>FRALDA ADULTO EG</t>
  </si>
  <si>
    <t>FRALDA ADULTO EG -PAM</t>
  </si>
  <si>
    <t>FRALDA ADULTO G</t>
  </si>
  <si>
    <t>FRALDA ADULTO G pam</t>
  </si>
  <si>
    <t>FRALDA ADULTO M</t>
  </si>
  <si>
    <t>FRALDA ADULTO M PAM</t>
  </si>
  <si>
    <t>FRALDA ADULTO P</t>
  </si>
  <si>
    <t>FRALDA INFANTIL G C/24 pam</t>
  </si>
  <si>
    <t>FRALDA INFANTIL M C/24 pam</t>
  </si>
  <si>
    <t>FRALDA INFANTIL P C/8 pam</t>
  </si>
  <si>
    <t>FRAUDA ADULTO EG PAM</t>
  </si>
  <si>
    <t>GARRAFA</t>
  </si>
  <si>
    <t>GARROTE ADULTO</t>
  </si>
  <si>
    <t>GARROTE TUBO 200 15MTS</t>
  </si>
  <si>
    <t>gel condutor 1kg</t>
  </si>
  <si>
    <t>gel condutor 250 ml</t>
  </si>
  <si>
    <t>GEL CONDUTOR 5LTS</t>
  </si>
  <si>
    <t>GIZÃO DE CERA CX C/12 UND</t>
  </si>
  <si>
    <t>GRAMPEADOR</t>
  </si>
  <si>
    <t>GRAMPO 26/6</t>
  </si>
  <si>
    <t>GUARDANAPOS DE PAPEL 23X22CM</t>
  </si>
  <si>
    <t>guia de intuição para soda endotraqueal</t>
  </si>
  <si>
    <t>INSETICIDA</t>
  </si>
  <si>
    <t>IODOPOLVIDINA DEGERMANTE 1L</t>
  </si>
  <si>
    <t>ISQUEIRO</t>
  </si>
  <si>
    <t>jaleco descartável manga longa</t>
  </si>
  <si>
    <t>JOGO DA MEMÓRIA</t>
  </si>
  <si>
    <t>LÂMINA AÇO  INOX N°12</t>
  </si>
  <si>
    <t>LÂMINA AÇO CARBONO N°11</t>
  </si>
  <si>
    <t>LÂMINA AÇO CARBONO N°12</t>
  </si>
  <si>
    <t>LÂMINA AÇO CARBONO N°15</t>
  </si>
  <si>
    <t>LÂMINA DE AÇO CARBONO N°22</t>
  </si>
  <si>
    <t>LÂMINA DE AÇO CARBONO N°23</t>
  </si>
  <si>
    <t>LÂMINA DE AÇO CARBONO N°24</t>
  </si>
  <si>
    <t>LÂMPADA</t>
  </si>
  <si>
    <t>lancetas para glicosímetro</t>
  </si>
  <si>
    <t>LAPIS DE COR</t>
  </si>
  <si>
    <t>LAPIS PRETO</t>
  </si>
  <si>
    <t>LARINGOSCÓPIO C/LAMINAS KIT</t>
  </si>
  <si>
    <t>LAUDO P/ SOLICITAÇÃO DE INTERNAÇÃO</t>
  </si>
  <si>
    <t xml:space="preserve">LENÇOL DE PAPEL DESCARTÁVEL </t>
  </si>
  <si>
    <t xml:space="preserve">LIMPA ALUMÍNIO </t>
  </si>
  <si>
    <t>LIVRO DE AGENDAMENTO DE COLETA</t>
  </si>
  <si>
    <t>LIVRO DE ATA 100 FLS</t>
  </si>
  <si>
    <t>LIVRO DE ATA 50 FLS</t>
  </si>
  <si>
    <t>LIVRO DE COLETA DE DADOS E CONTROLE</t>
  </si>
  <si>
    <t>LIVRO DE PONTO</t>
  </si>
  <si>
    <t>LIVRO DE PROTOCOLO</t>
  </si>
  <si>
    <t>LIVRO DE REGISTRO  DE EXAMES PARASITOLÓGICOS</t>
  </si>
  <si>
    <t>LIVRO DE REGISTRO  DE HEMOGRAMA</t>
  </si>
  <si>
    <t>LIXEIRA  C/alça</t>
  </si>
  <si>
    <t xml:space="preserve">LIXEIRA  C/PEDAL </t>
  </si>
  <si>
    <t>LIXEIRA BANHO</t>
  </si>
  <si>
    <t>LIXEIRA COM TAMPA E PEDAL 10LT</t>
  </si>
  <si>
    <t>LIXEIRA EG</t>
  </si>
  <si>
    <t>LIXEIRA GRANDE</t>
  </si>
  <si>
    <t>LUVA  N/ESTÉRIL G</t>
  </si>
  <si>
    <t>LUVA  N/ESTÉRIL M</t>
  </si>
  <si>
    <t>LUVA  N/ESTÉRIL P</t>
  </si>
  <si>
    <t>LUVA  N/ESTÉRIL PP</t>
  </si>
  <si>
    <t>LUVA AMARELA G</t>
  </si>
  <si>
    <t>LUVA AMARELA M</t>
  </si>
  <si>
    <t>LUVA AMARELA P</t>
  </si>
  <si>
    <t>LUVA CIRÚGICA ESTÉRIL 6.5</t>
  </si>
  <si>
    <t>LUVA CIRÚGICA ESTÉRIL 7,0</t>
  </si>
  <si>
    <t>LUVA CIRÚGICA ESTÉRIL 7,5</t>
  </si>
  <si>
    <t>LUVA CIRÚGICA ESTÉRIL 8,0</t>
  </si>
  <si>
    <t>LUVA CIRÚGICA ESTERIO8.5</t>
  </si>
  <si>
    <t>LUVA TÉRMICA METALIZADA</t>
  </si>
  <si>
    <t>LUVAS MUCAMBO LIMPEZA EG</t>
  </si>
  <si>
    <t>LUVAS MUCAMBO LIMPEZA G</t>
  </si>
  <si>
    <t>LUVAS MUCAMBO LIMPEZA M</t>
  </si>
  <si>
    <t>LUVAS MUCAMBO LIMPEZA P</t>
  </si>
  <si>
    <t>MACACÃO G</t>
  </si>
  <si>
    <t>MACACÃO M</t>
  </si>
  <si>
    <t>MACACÃO XG</t>
  </si>
  <si>
    <t>MALHA TUBULAR  10cm/15m</t>
  </si>
  <si>
    <t>MALHA TUBULAR  15cm/15m</t>
  </si>
  <si>
    <t>MALHA TUBULAR  20cm/15m</t>
  </si>
  <si>
    <t>MANGUEIRA DE JARDIM</t>
  </si>
  <si>
    <t xml:space="preserve">MANGUEIRA JARDIM </t>
  </si>
  <si>
    <t>manta aluminizada de emergência</t>
  </si>
  <si>
    <t>MARCA TEXTO</t>
  </si>
  <si>
    <t>mar-26</t>
  </si>
  <si>
    <t>MARCA TEXTO VERDE</t>
  </si>
  <si>
    <t>fev-27</t>
  </si>
  <si>
    <t>marcador preto</t>
  </si>
  <si>
    <t>máscara anatômica de proteção facial antibacteriana reutilizável</t>
  </si>
  <si>
    <t>MÁSCARA CIRÚRGICA C/ ELASTICO</t>
  </si>
  <si>
    <t>MASCARA De NEBULIZAÇÃO SOLIDOR INFANTIL 6 ml</t>
  </si>
  <si>
    <t>MASCARA DE OXIGÊNIO ALTA CONCENT. ADULTO</t>
  </si>
  <si>
    <t>MASCARA DE OXIGÊNIO ALTA CONCENT. INFANTIL</t>
  </si>
  <si>
    <t>MÁSCARA DESCARTÁVEL</t>
  </si>
  <si>
    <t>MÁSCARA KN 95</t>
  </si>
  <si>
    <t xml:space="preserve">MASCARA NEBULIZAÇÃO ADULTO   </t>
  </si>
  <si>
    <t>MASCARA NEBULIZAÇÃO ADULTO/INFANTIL</t>
  </si>
  <si>
    <t>MASSA DE MODELAR</t>
  </si>
  <si>
    <t>MESA GINECOLÓGICA</t>
  </si>
  <si>
    <t>MICRONEBULIZADOR ADULTO</t>
  </si>
  <si>
    <t>MICRONEBULIZADOR INFANTIL</t>
  </si>
  <si>
    <t xml:space="preserve">MICROONDAS </t>
  </si>
  <si>
    <t>MULTIUSO</t>
  </si>
  <si>
    <t>ÓCULOS DE PROTEÇÃO</t>
  </si>
  <si>
    <t>ÓLEO CICATRIZANTE  100ml (GIRASSOL)</t>
  </si>
  <si>
    <t>ÓLEO CICATRIZANTE  200ml (GIRASSOL)</t>
  </si>
  <si>
    <t>OXÍMETRO ADULTO</t>
  </si>
  <si>
    <t>OXÍMETRO INFANTIL</t>
  </si>
  <si>
    <t>PÁ DE LIXO</t>
  </si>
  <si>
    <t>PANO DE PRATO</t>
  </si>
  <si>
    <t>pano multiuso</t>
  </si>
  <si>
    <t>PAPEL A4</t>
  </si>
  <si>
    <t>PAPEL ALUMÍNIO</t>
  </si>
  <si>
    <t>PAPEL CONTACT</t>
  </si>
  <si>
    <t xml:space="preserve">PAPEL ESPECIAL ARTESANATO </t>
  </si>
  <si>
    <t>PAPEL FOTOGRÁFICO  50 FLS</t>
  </si>
  <si>
    <t>PAPEL FOTOGRÁFICO 20 FLS</t>
  </si>
  <si>
    <t>PAPEL HIGIENICO</t>
  </si>
  <si>
    <t>PAPEL METAL 45 X 60</t>
  </si>
  <si>
    <t>PAPEL TOALHA INTERFOLHAS ( MÃO )</t>
  </si>
  <si>
    <t>PASTA AZ</t>
  </si>
  <si>
    <t xml:space="preserve">pasta azul para guardar documento </t>
  </si>
  <si>
    <t>PASTA CARTÃO</t>
  </si>
  <si>
    <t>PASTA CATÁLOGO</t>
  </si>
  <si>
    <t>PASTA CATÁLOGO PLÁSTICO FINO 10</t>
  </si>
  <si>
    <t>PASTA CATÁLOGO PLÁSTICO FINO 100</t>
  </si>
  <si>
    <t>PASTA CATÁLOGO PLÁSTICO FINO 40</t>
  </si>
  <si>
    <t>PASTA PLÁSTICO C/ELASTICO</t>
  </si>
  <si>
    <t xml:space="preserve">PASTA POLIONDA </t>
  </si>
  <si>
    <t>PASTA SUSPENSA</t>
  </si>
  <si>
    <t>PEDRA SANITARIA</t>
  </si>
  <si>
    <t>PERCEVEJOS</t>
  </si>
  <si>
    <t>PERFUDOR DE PAPEL</t>
  </si>
  <si>
    <t xml:space="preserve">perfurador de papel </t>
  </si>
  <si>
    <t>PILHA 9V</t>
  </si>
  <si>
    <t>PILHA AA  (COMUN)</t>
  </si>
  <si>
    <t>PILHA AAA  (PALITO)</t>
  </si>
  <si>
    <t>PILHA MÉDIA</t>
  </si>
  <si>
    <t>PINCEL</t>
  </si>
  <si>
    <t>PISTOLA COLA QUENTE GRANDE</t>
  </si>
  <si>
    <t>PISTOLA COLA QUENTE PEQ.</t>
  </si>
  <si>
    <t>PLÁSTICO FILME</t>
  </si>
  <si>
    <t>PORTA CANETA</t>
  </si>
  <si>
    <t>PRANCHETA</t>
  </si>
  <si>
    <t>PREGADOR DE ROUPA</t>
  </si>
  <si>
    <t>PRENDEDOR DE PAPEL 19MM C/40</t>
  </si>
  <si>
    <t>clas.</t>
  </si>
  <si>
    <t>protetor facial</t>
  </si>
  <si>
    <t>RECEITUÁRIO CONTROLE ESPECIAL</t>
  </si>
  <si>
    <t>REGISTRO DE DOENÇA DIARRÉICAS</t>
  </si>
  <si>
    <t xml:space="preserve">RÉGUA 30CM </t>
  </si>
  <si>
    <t>REQUISIÇÃO DE LABORATÓRIO MUNICIPAL</t>
  </si>
  <si>
    <t>RESPIRADOR SEMIFACIAL CG306</t>
  </si>
  <si>
    <t>RESSUCITADOR PULMONAR ADULTO</t>
  </si>
  <si>
    <t>RODO 40CM</t>
  </si>
  <si>
    <t>RODO 60CM</t>
  </si>
  <si>
    <t>rodo para pia</t>
  </si>
  <si>
    <t>SABÃO EM BARRA</t>
  </si>
  <si>
    <t>SABÃO EM PÓ</t>
  </si>
  <si>
    <t>SABÃO LIQUIDO</t>
  </si>
  <si>
    <t>SABONETE EM BARRA</t>
  </si>
  <si>
    <t>SACO DE ALGODÃO (PANO DE CHAO)</t>
  </si>
  <si>
    <t>SACO DE HAMBURQUER</t>
  </si>
  <si>
    <t>SACO DE LIXO  100lt</t>
  </si>
  <si>
    <t>SACO DE LIXO  110 lt</t>
  </si>
  <si>
    <t>SACO DE LIXO  200lt</t>
  </si>
  <si>
    <t>SACO DE LIXO 20lt</t>
  </si>
  <si>
    <t>SACO DE LIXO 40lt</t>
  </si>
  <si>
    <t>SACO DE LIXO HOSPITALAR 100L</t>
  </si>
  <si>
    <t>SACO DE LIXO HOSPITALAR 15L</t>
  </si>
  <si>
    <t>SACO DE LIXO HOSPITALAR 30L</t>
  </si>
  <si>
    <t>SCALP 18G</t>
  </si>
  <si>
    <t>SCALP 19G</t>
  </si>
  <si>
    <t>SCALP 21G</t>
  </si>
  <si>
    <t>SCALP 23G</t>
  </si>
  <si>
    <t>C</t>
  </si>
  <si>
    <t>SCALP 25G</t>
  </si>
  <si>
    <t>SCALP 27G</t>
  </si>
  <si>
    <t>SERINGA 10 ml C/AGULHA 25x7,0</t>
  </si>
  <si>
    <t>SERINGA 1ml C/ AGULHA 13x4,5</t>
  </si>
  <si>
    <t>SERINGA 2OML AGULHA 25X0,7</t>
  </si>
  <si>
    <t>SERINGA HIPODÉRMICA  3ML</t>
  </si>
  <si>
    <t xml:space="preserve">SERINGA HIPODÉRMICA 10ML </t>
  </si>
  <si>
    <t>SERINGA HIPODÉRMICA 20ML</t>
  </si>
  <si>
    <t>SERINGA HIPODERMICA 5ML</t>
  </si>
  <si>
    <t>SERINGAS P/ INSULINA 1ml</t>
  </si>
  <si>
    <t>SIST. VIGILÂNCIA ALIMENTAR E NUTRICIONAL</t>
  </si>
  <si>
    <t xml:space="preserve">SODA CAUSTICA </t>
  </si>
  <si>
    <t xml:space="preserve">SOLUÇÃO DE GLICOSE 500ML </t>
  </si>
  <si>
    <t xml:space="preserve">SOLUÇÃO FISIOLÓGICA ARBORETO 0,9% </t>
  </si>
  <si>
    <t>SONDA  ALIMENTAÇÃO ENTERAL N°12</t>
  </si>
  <si>
    <t>sonda de alívio número 18</t>
  </si>
  <si>
    <t xml:space="preserve">SONDA DE ASPIRAÇÃO TRAQUEAL N°8 </t>
  </si>
  <si>
    <t>SONDA DE ASPIRAÇÃO TRAQUEAL S/ VÁLVULA</t>
  </si>
  <si>
    <t>SONDA DE ENTERAL (AZUL FICA VERDE EXPOSTO AO GÁS ETO)</t>
  </si>
  <si>
    <t xml:space="preserve">SONDA DE FOLEY  N° 8 </t>
  </si>
  <si>
    <t>SONDA DE FOLEY T10</t>
  </si>
  <si>
    <t>SONDA DE FOLEY T12</t>
  </si>
  <si>
    <t>SONDA DE FOLEY T14</t>
  </si>
  <si>
    <t>SONDA DE FOLEY T16</t>
  </si>
  <si>
    <t>SONDA DE FOLEY T18</t>
  </si>
  <si>
    <t>SONDA DE FOLEY T20</t>
  </si>
  <si>
    <t>SONDA DE NUTRIÇÃO ENTERAL N°10</t>
  </si>
  <si>
    <t>SONDA DE NUTRIÇÃO ENTERAL N°12</t>
  </si>
  <si>
    <t>SONDA DUPLA VIA N°10</t>
  </si>
  <si>
    <t>SONDA DUPLA VIA N°12</t>
  </si>
  <si>
    <t>SONDA ENDOTRAQUEAL N°4.0</t>
  </si>
  <si>
    <t>SONDA ENDOTRAQUEAL N°5.0</t>
  </si>
  <si>
    <t>SONDA ENDOTRAQUEAL N°7.0</t>
  </si>
  <si>
    <t>SONDA ENDOTRAQUEAL N°7.5</t>
  </si>
  <si>
    <t>SONDA ENDOTRAQUEAL N°8.0</t>
  </si>
  <si>
    <t>SONDA ENDOTRAQUEAL N°8.5</t>
  </si>
  <si>
    <t xml:space="preserve">SONDA ENTERAL N°8 </t>
  </si>
  <si>
    <t>SONDA GÁSTRICA LONGA N°20</t>
  </si>
  <si>
    <t>SONDA GÁSTRICA N°18</t>
  </si>
  <si>
    <t>SONDA NASO  CURTA N°20</t>
  </si>
  <si>
    <t>SONDA NASO CURTA N°6</t>
  </si>
  <si>
    <t>SONDA NASO LONGA 10</t>
  </si>
  <si>
    <t>SONDA NASO LONGA 6</t>
  </si>
  <si>
    <t>sonda naso longa número 18</t>
  </si>
  <si>
    <t>SONDA NASO LONGA16</t>
  </si>
  <si>
    <t>sonda NASO N°18</t>
  </si>
  <si>
    <t>SONDA NASOGÁSTRICA  LONGA  N°12</t>
  </si>
  <si>
    <t>SONDA NASOGÁSTRICA LONGA  N°22</t>
  </si>
  <si>
    <t>SONDA NASOGASTRICA LONGA N°14</t>
  </si>
  <si>
    <t xml:space="preserve">SONDA NASOGASTRICA LONGA N°24 </t>
  </si>
  <si>
    <t>SONDA NUTRIÇÃO ENTERAL 6 (INFANTIL)</t>
  </si>
  <si>
    <t>SONDA PVC ATÓXICA SILICONIZADA</t>
  </si>
  <si>
    <t>SONDA URETRAL DE ALÍVIO N° 10</t>
  </si>
  <si>
    <t>SONDA URETRAL N°10</t>
  </si>
  <si>
    <t xml:space="preserve">SONDA URETRAL N°12 </t>
  </si>
  <si>
    <t>SONDA URETRAL N°14 TRANSF.MARROM GÁS ETO</t>
  </si>
  <si>
    <t>SONDA URETRAL N°20</t>
  </si>
  <si>
    <t>SONDA URETRAL N°8</t>
  </si>
  <si>
    <t>SONDA URETRAL Nº 14</t>
  </si>
  <si>
    <t>SONDA URETRAL Nº 16</t>
  </si>
  <si>
    <t>SONDA URETRAL Nº 18</t>
  </si>
  <si>
    <t>sonda uretral número 24</t>
  </si>
  <si>
    <t>SORO 100 ML</t>
  </si>
  <si>
    <t xml:space="preserve">soro 250 ml </t>
  </si>
  <si>
    <t>SORO GLICOSADO 250 ML</t>
  </si>
  <si>
    <t>SORO GLICOSADO 500 ML</t>
  </si>
  <si>
    <t>SORO500 ML</t>
  </si>
  <si>
    <t>SULFADIAZINA DE PRATA</t>
  </si>
  <si>
    <t>SUPORTE DE SORO</t>
  </si>
  <si>
    <t>TALA ARAMADA G</t>
  </si>
  <si>
    <t>TALA ARAMADA M</t>
  </si>
  <si>
    <t>TALA ARAMADA p</t>
  </si>
  <si>
    <t>TALA ARAMADA PP</t>
  </si>
  <si>
    <t>termômetro caixa de vacina</t>
  </si>
  <si>
    <t>TERMÔMETRO DIGITAL</t>
  </si>
  <si>
    <t>TERMÔMETRO INFRAVERMELHO</t>
  </si>
  <si>
    <t>TESOURA DE PICOTAR</t>
  </si>
  <si>
    <t>TESOURA ESCOLAR</t>
  </si>
  <si>
    <t>TESOURA MULTIUSO</t>
  </si>
  <si>
    <t>TINTA PARA CARIMBO</t>
  </si>
  <si>
    <t>TNT 50M</t>
  </si>
  <si>
    <t>TOALHA DE BANHO</t>
  </si>
  <si>
    <t>TOALHA DE PAPEL (COZINHA)</t>
  </si>
  <si>
    <t>TOALHA DE ROSTO PEQUENA</t>
  </si>
  <si>
    <t>TOALHA DE ROSTO/MÃO</t>
  </si>
  <si>
    <t>TOLCA DESCARTÁVEL</t>
  </si>
  <si>
    <t>TORNEIRA 3 VIAS c/luer simples</t>
  </si>
  <si>
    <t>TORNEIRA 3 VIAS descarpack</t>
  </si>
  <si>
    <t>Torneira 3 vias descarpak</t>
  </si>
  <si>
    <t xml:space="preserve">TUBO DE COLA QUENTE GROSSA </t>
  </si>
  <si>
    <t>TUBO DE LATEX 15 M</t>
  </si>
  <si>
    <t>TUBO ENDOTRAQUEAL   N°4.0</t>
  </si>
  <si>
    <t>TUBO ENDOTRAQUEAL  N/8.5</t>
  </si>
  <si>
    <t>TUBO ENDOTRAQUEAL  N°3.0</t>
  </si>
  <si>
    <t>TUBO ENDOTRAQUEAL  N°3.5</t>
  </si>
  <si>
    <t>TUBO ENDOTRAQUEAL  N°4.5</t>
  </si>
  <si>
    <t>TUBO ENDOTRAQUEAL  N°8.0</t>
  </si>
  <si>
    <t>TUBO ENDOTRAQUEAL  N°9.0</t>
  </si>
  <si>
    <t>TUBO ENDOTRAQUEAL 5.5</t>
  </si>
  <si>
    <t>TUBO ENDOTRAQUEAL 6.0</t>
  </si>
  <si>
    <t>TUBO ENDOTRAQUEAL 6.5</t>
  </si>
  <si>
    <t>TUBO ENDOTRAQUEAL 7.0</t>
  </si>
  <si>
    <t>TUBO ENDOTRAQUEAL 7.5</t>
  </si>
  <si>
    <t>TUBO SANGUE VÁCUO  4ML 13x75 C 1000 UND</t>
  </si>
  <si>
    <t>VÁLVULA REGULADORA DE OXIGÊNIO + FLUX.</t>
  </si>
  <si>
    <t>VASELINA LÍQUIDA 1L</t>
  </si>
  <si>
    <t>VASSOURA DE GARI</t>
  </si>
  <si>
    <t>VASSOURA DE PELO</t>
  </si>
  <si>
    <t>VASSOURA PIAÇAVA</t>
  </si>
  <si>
    <t>VELA DE FILTRO</t>
  </si>
  <si>
    <t>OBS:</t>
  </si>
  <si>
    <t>SONDA URETRALN°18</t>
  </si>
  <si>
    <t>TUBO ENDOTRAQUEAL N°9</t>
  </si>
  <si>
    <t>SERINGA 3 ML</t>
  </si>
  <si>
    <t>LUVA  ESTÉREO N°8</t>
  </si>
  <si>
    <t>NASOGASTRICA LONGA N°18</t>
  </si>
  <si>
    <t>SOLIÇÃO FISIOLÓGICA  ARBORETO 0.9%</t>
  </si>
  <si>
    <t>SONDA NASOGASTRICA CURTA N°20</t>
  </si>
  <si>
    <t>SONDA ENDOTRAQUEAL C/ BALÃO N°8,5</t>
  </si>
  <si>
    <t>LUVA  ESTÉREO N°7</t>
  </si>
  <si>
    <t>SONDA DE FOLEY N°16</t>
  </si>
  <si>
    <t>SONDA URETRAL N°16 (SONDA P.V.C. ATÓXICO SILICONIZADO)</t>
  </si>
  <si>
    <t>SONDA DE FOLEY N°20</t>
  </si>
  <si>
    <t>SONDA DE FOLEY N°12</t>
  </si>
  <si>
    <t>SONDAS NASOGASTRIGAS NUMEROS VARIADOS</t>
  </si>
  <si>
    <r>
      <rPr>
        <sz val="11"/>
        <color rgb="FF000000"/>
        <rFont val="Calibri"/>
        <scheme val="minor"/>
      </rPr>
      <t xml:space="preserve">A VALIDADE REPRESENTA SOMENTE O </t>
    </r>
    <r>
      <rPr>
        <sz val="11"/>
        <color rgb="FFFF0000"/>
        <rFont val="Calibri"/>
        <scheme val="minor"/>
      </rPr>
      <t>ANO</t>
    </r>
  </si>
  <si>
    <t>TUBO ENDOTRAQUEAL N°4</t>
  </si>
  <si>
    <t>LUVA  ESTÉREO N°6</t>
  </si>
  <si>
    <t>SONDA DE FOLEY N°18</t>
  </si>
  <si>
    <t>TUBO ENDOTRAQUEAL N°8,5</t>
  </si>
  <si>
    <t>SONDA ENDOTRAQUEAL C/ BALÃO N°5</t>
  </si>
  <si>
    <t>SONDA DE FOLEY N°10</t>
  </si>
  <si>
    <t>LUVA  ESTÉREO N°8,5</t>
  </si>
  <si>
    <t>FIO AGULHA NYLON TAMANHOS VARIADOS</t>
  </si>
  <si>
    <t>LUVA G</t>
  </si>
  <si>
    <t>LUVA PP</t>
  </si>
  <si>
    <t>LUVA P</t>
  </si>
  <si>
    <t>TUBO ENDOTRAQUEAL N°7</t>
  </si>
  <si>
    <t>TUBO ENDOTRAQUEAL N°8</t>
  </si>
  <si>
    <t>TUBO ENDOTRAQUEAL N°6</t>
  </si>
  <si>
    <t>TUBO ENDOTRAQUEAL N°3</t>
  </si>
  <si>
    <t>TUBO ENDOTRAQUEAL N°5,5</t>
  </si>
  <si>
    <t>TUBO ENDOTRAQUEAL N°3,5</t>
  </si>
  <si>
    <t>TUBO ENDOTRAQUEAL N°4,5</t>
  </si>
  <si>
    <t>SONDA ENDOTRAQUEAL C/ BALÃO N° 8,0</t>
  </si>
  <si>
    <t>SONDA ENDOTRAQUEAL C/ BALÃO N°7</t>
  </si>
  <si>
    <t>SONDA ENDOTRAQUEAL C/ BALÃO N°7,5</t>
  </si>
  <si>
    <t>LENÇOL DE PAPEL</t>
  </si>
  <si>
    <t>-</t>
  </si>
  <si>
    <t xml:space="preserve">INDETERMINADO </t>
  </si>
  <si>
    <t xml:space="preserve">não tem </t>
  </si>
  <si>
    <t>DATA DE INÍCIO:</t>
  </si>
  <si>
    <t>DATA FINAL:</t>
  </si>
  <si>
    <t>SOMA</t>
  </si>
  <si>
    <t>DE</t>
  </si>
  <si>
    <t>Produto</t>
  </si>
  <si>
    <t>Quantidade</t>
  </si>
  <si>
    <t>Observação</t>
  </si>
  <si>
    <t>SUBTOTAL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</si>
  <si>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</si>
  <si>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</si>
  <si>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</si>
  <si>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</si>
  <si>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</si>
  <si>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</si>
  <si>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</si>
  <si>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</si>
  <si>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</si>
  <si>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</si>
  <si>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</si>
  <si>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</si>
  <si>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</si>
  <si>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</si>
  <si>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</si>
  <si>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</si>
  <si>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</si>
  <si>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</si>
  <si>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</si>
  <si>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</si>
  <si>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</si>
  <si>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</si>
  <si>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</si>
  <si>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</si>
  <si>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</si>
  <si>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</si>
  <si>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</si>
  <si>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</si>
  <si>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</si>
  <si>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</si>
  <si>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</si>
  <si>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SAIDA</t>
  </si>
  <si>
    <t>Colunas1</t>
  </si>
  <si>
    <t>Colunas2</t>
  </si>
  <si>
    <t>Colunas3</t>
  </si>
  <si>
    <t>Colunas4</t>
  </si>
  <si>
    <t>Colunas5</t>
  </si>
  <si>
    <t>Colunas6</t>
  </si>
  <si>
    <t>Colunas7</t>
  </si>
  <si>
    <t>Colunas8</t>
  </si>
  <si>
    <t>Colunas9</t>
  </si>
  <si>
    <t>Colunas10</t>
  </si>
  <si>
    <t>Colunas11</t>
  </si>
  <si>
    <t>Colunas12</t>
  </si>
  <si>
    <t>Colunas13</t>
  </si>
  <si>
    <t>Colunas14</t>
  </si>
  <si>
    <t>Colunas15</t>
  </si>
  <si>
    <t>Colunas16</t>
  </si>
  <si>
    <t>Colunas17</t>
  </si>
  <si>
    <t>Colunas18</t>
  </si>
  <si>
    <t>Colunas19</t>
  </si>
  <si>
    <t>Colunas20</t>
  </si>
  <si>
    <t>Colunas21</t>
  </si>
  <si>
    <t>Colunas22</t>
  </si>
  <si>
    <t>Colunas23</t>
  </si>
  <si>
    <t>Colunas24</t>
  </si>
  <si>
    <t>Colunas25</t>
  </si>
  <si>
    <t>Colunas26</t>
  </si>
  <si>
    <t>Colunas27</t>
  </si>
  <si>
    <t>Colunas28</t>
  </si>
  <si>
    <t>Colunas29</t>
  </si>
  <si>
    <t>Colunas30</t>
  </si>
  <si>
    <t>Colunas31</t>
  </si>
  <si>
    <t xml:space="preserve"> entrada</t>
  </si>
  <si>
    <t>C/100UN</t>
  </si>
  <si>
    <t>AGULHA HIPODÉRMICA 13X4.5 C/100</t>
  </si>
  <si>
    <t>AGULHA HIPODÉRMICA 20X5.5 C/100</t>
  </si>
  <si>
    <t>AGULHA HIPODÉRMICA 25X8 C/100</t>
  </si>
  <si>
    <t>AGULHA HIPODÉRMICA 40X12 C/100</t>
  </si>
  <si>
    <t>ÁLCOOL</t>
  </si>
  <si>
    <t>TEM MUITO</t>
  </si>
  <si>
    <t>ALGODÃO HIDRÓFILO</t>
  </si>
  <si>
    <t>500G</t>
  </si>
  <si>
    <t>ALGODÃO ORTOPÉDICO 10CM</t>
  </si>
  <si>
    <t>ALGODÃO ORTOPÉDICO 20CM</t>
  </si>
  <si>
    <t>OLHAR COM ZE MARIA</t>
  </si>
  <si>
    <t>NÃO SAI</t>
  </si>
  <si>
    <t>APARELHO MEDIDOR GLICOSE (GLICOSÍMETRO)</t>
  </si>
  <si>
    <t>CONTAR</t>
  </si>
  <si>
    <t>ATADURA CREPE 10CM</t>
  </si>
  <si>
    <t>SAI MUITO</t>
  </si>
  <si>
    <t>ATADURA CREPE 15CM</t>
  </si>
  <si>
    <t>ATADURA CREPE 20CM</t>
  </si>
  <si>
    <t>BATERIA GLICOSE (GLICOSÍMETRO)</t>
  </si>
  <si>
    <t>COMPRAR</t>
  </si>
  <si>
    <t>COMPRA</t>
  </si>
  <si>
    <t>CADERNO BROCHURA CAP. DURA (grande)</t>
  </si>
  <si>
    <r>
      <t xml:space="preserve">MAIS </t>
    </r>
    <r>
      <rPr>
        <sz val="11"/>
        <color rgb="FFFF0000"/>
        <rFont val="Calibri"/>
        <family val="2"/>
        <scheme val="minor"/>
      </rPr>
      <t>220</t>
    </r>
    <r>
      <rPr>
        <sz val="11"/>
        <color theme="1"/>
        <rFont val="Calibri"/>
        <family val="2"/>
        <scheme val="minor"/>
      </rPr>
      <t xml:space="preserve"> DE CAPA MOLE</t>
    </r>
  </si>
  <si>
    <t>OLHAR COM RUAM</t>
  </si>
  <si>
    <t>CANETA PARA RETROPROJETOR VERMELHO</t>
  </si>
  <si>
    <t>CATETER PERIFÉRICO 14G</t>
  </si>
  <si>
    <t>CLIPES N° 2 (p)</t>
  </si>
  <si>
    <t>QUANTIDADES VARIADAS</t>
  </si>
  <si>
    <t>CLIPES N° 6 (G)</t>
  </si>
  <si>
    <t>COLAR CERVICAL MÉDIO</t>
  </si>
  <si>
    <t>VER COM ZÉ MARIA</t>
  </si>
  <si>
    <t>COMPRESSA DE GAZE (PCTO)</t>
  </si>
  <si>
    <t>COMPRESSA DE GAZE 7.5x7.5cm (estéreo)</t>
  </si>
  <si>
    <t>SEM OBSERVAÇÃO</t>
  </si>
  <si>
    <t>DESINFETANTE</t>
  </si>
  <si>
    <t>2L</t>
  </si>
  <si>
    <t>APROXIMADO</t>
  </si>
  <si>
    <t>ELÁSTICA</t>
  </si>
  <si>
    <t>ELETRODO 5/50</t>
  </si>
  <si>
    <t>C/50UN</t>
  </si>
  <si>
    <t>ENVELOPE A4</t>
  </si>
  <si>
    <t>EQUIPO DE NUTRIÇÃO ENTERAL</t>
  </si>
  <si>
    <t>C/20 UM</t>
  </si>
  <si>
    <r>
      <t xml:space="preserve">DE COLOCAR </t>
    </r>
    <r>
      <rPr>
        <sz val="11"/>
        <color rgb="FFFF0000"/>
        <rFont val="Calibri"/>
        <family val="2"/>
        <scheme val="minor"/>
      </rPr>
      <t>SORO</t>
    </r>
  </si>
  <si>
    <t>EQUIPO MICRO C/ BURETA</t>
  </si>
  <si>
    <t>DEPENTEDA SITUAÇÃO</t>
  </si>
  <si>
    <t>EQUIPO TORNEIRA 3 VIAS LUER SIMPLES</t>
  </si>
  <si>
    <t>ESPARADRAPOS 10CMX4.5</t>
  </si>
  <si>
    <t>ESPARADRAPOS 5CMX4.5</t>
  </si>
  <si>
    <t>SAIDA REGULAR</t>
  </si>
  <si>
    <t>ESTERELIZADO 35%</t>
  </si>
  <si>
    <t>120 UN</t>
  </si>
  <si>
    <t>FITA CIRÚRGICA MICROPOROSA 10CM</t>
  </si>
  <si>
    <t>FITA CREPE</t>
  </si>
  <si>
    <t>FICAR DE OLHO</t>
  </si>
  <si>
    <t>FITA MÉTRICA</t>
  </si>
  <si>
    <t>JALECO DESCARTÁVEL MANGA LONGA</t>
  </si>
  <si>
    <t>LUVA N/ESTÉRIL G</t>
  </si>
  <si>
    <t>LUVA N/ESTÉRIL M</t>
  </si>
  <si>
    <t>LUVA N/ESTÉRIL P</t>
  </si>
  <si>
    <t>LUVA N/ESTÉRIL PP</t>
  </si>
  <si>
    <t>MACADOR PRETO</t>
  </si>
  <si>
    <t>ÓLEO CICATRIZANTE 100ML (GIRASSOL)</t>
  </si>
  <si>
    <t>ÓLEO CICATRIZANTE 200ML (GIRASSOL)</t>
  </si>
  <si>
    <t>OTOSCÓPIO</t>
  </si>
  <si>
    <t>COMPRAS</t>
  </si>
  <si>
    <t>PILHA AAA (COMUN)</t>
  </si>
  <si>
    <t>O</t>
  </si>
  <si>
    <t>PILHA AAA (PALITO)</t>
  </si>
  <si>
    <t>PURIFICADOR</t>
  </si>
  <si>
    <t>REGUA 30 CM</t>
  </si>
  <si>
    <t>SABÃO LÍQUIDO</t>
  </si>
  <si>
    <t>SACO DE LIXO 100lt</t>
  </si>
  <si>
    <t>SERINGA HIPODÉRMICA 3ML</t>
  </si>
  <si>
    <t>SERINGA P/INSULINA 1ML</t>
  </si>
  <si>
    <t>SONDA DE FOLEY 14</t>
  </si>
  <si>
    <t>SONDA URETRAL N°12</t>
  </si>
  <si>
    <t>1370 UN</t>
  </si>
  <si>
    <t>SONDA URETRAL N°14</t>
  </si>
  <si>
    <t>SONDA URETRAL N°14 TRANSF. MARROM GÁS ETO</t>
  </si>
  <si>
    <t>SORO 500 ML</t>
  </si>
  <si>
    <t>PAM</t>
  </si>
  <si>
    <t>SAIDA EXPECIFICA</t>
  </si>
  <si>
    <t>TALA ARAMADA KIT</t>
  </si>
  <si>
    <t>TUBO DE COLA QUENTE GROSSA</t>
  </si>
  <si>
    <t>VASELINA LÍQUIDA</t>
  </si>
  <si>
    <t>1L</t>
  </si>
  <si>
    <t>SORO 250ML</t>
  </si>
  <si>
    <t>armário de aço 2 portas 192x800x400</t>
  </si>
  <si>
    <t>armário de aço 2 portas 1600x750x400</t>
  </si>
  <si>
    <t>arquivo de aço 4 gavetas tamanho 0.13x0.6x1.34</t>
  </si>
  <si>
    <t xml:space="preserve">pratireira </t>
  </si>
  <si>
    <t>fogão industrial 4 bocas</t>
  </si>
  <si>
    <t>fogão industrial 6 bocas</t>
  </si>
  <si>
    <t xml:space="preserve"> ventilador de parede</t>
  </si>
  <si>
    <t xml:space="preserve"> longarinas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</si>
</sst>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9C000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5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0" applyNumberFormat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applyNumberFormat="1"/>
    <xf numFmtId="0" fontId="3" fillId="3" borderId="0" xfId="2" applyNumberFormat="1"/>
    <xf numFmtId="0" fontId="2" fillId="2" borderId="0" xfId="1" applyNumberFormat="1"/>
    <xf numFmtId="0" fontId="4" fillId="4" borderId="1" xfId="3"/>
    <xf numFmtId="0" fontId="4" fillId="4" borderId="2" xfId="3" applyBorder="1"/>
    <xf numFmtId="0" fontId="4" fillId="4" borderId="0" xfId="3" applyBorder="1"/>
    <xf numFmtId="0" fontId="4" fillId="4" borderId="1" xfId="3" applyBorder="1"/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left"/>
    </xf>
    <xf numFmtId="0" fontId="0" fillId="6" borderId="0" xfId="0" applyFill="1" applyAlignment="1">
      <alignment horizontal="right"/>
    </xf>
    <xf numFmtId="0" fontId="3" fillId="3" borderId="3" xfId="2" applyBorder="1"/>
    <xf numFmtId="0" fontId="2" fillId="2" borderId="3" xfId="1" applyBorder="1"/>
    <xf numFmtId="0" fontId="3" fillId="3" borderId="3" xfId="2" applyBorder="1" applyAlignment="1">
      <alignment horizontal="left"/>
    </xf>
    <xf numFmtId="0" fontId="5" fillId="5" borderId="3" xfId="4" applyBorder="1"/>
    <xf numFmtId="14" fontId="0" fillId="6" borderId="0" xfId="0" applyNumberFormat="1" applyFill="1" applyAlignment="1">
      <alignment horizontal="center"/>
    </xf>
    <xf numFmtId="14" fontId="0" fillId="6" borderId="7" xfId="0" applyNumberFormat="1" applyFill="1" applyBorder="1" applyAlignment="1">
      <alignment horizontal="center"/>
    </xf>
    <xf numFmtId="14" fontId="3" fillId="3" borderId="0" xfId="2" applyNumberFormat="1"/>
    <xf numFmtId="0" fontId="3" fillId="3" borderId="0" xfId="2"/>
    <xf numFmtId="0" fontId="0" fillId="7" borderId="0" xfId="0" applyFill="1"/>
    <xf numFmtId="0" fontId="0" fillId="8" borderId="0" xfId="0" applyFill="1"/>
    <xf numFmtId="17" fontId="0" fillId="0" borderId="0" xfId="0" applyNumberFormat="1"/>
    <xf numFmtId="164" fontId="0" fillId="0" borderId="0" xfId="0" applyNumberFormat="1"/>
    <xf numFmtId="0" fontId="0" fillId="6" borderId="0" xfId="0" applyFill="1" applyBorder="1" applyAlignment="1">
      <alignment horizontal="center"/>
    </xf>
    <xf numFmtId="14" fontId="0" fillId="6" borderId="0" xfId="0" applyNumberFormat="1" applyFill="1" applyBorder="1" applyAlignment="1">
      <alignment horizontal="left"/>
    </xf>
    <xf numFmtId="0" fontId="0" fillId="6" borderId="0" xfId="0" applyFill="1" applyBorder="1" applyAlignment="1">
      <alignment horizontal="right"/>
    </xf>
    <xf numFmtId="14" fontId="0" fillId="6" borderId="8" xfId="0" applyNumberFormat="1" applyFill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 wrapText="1"/>
    </xf>
    <xf numFmtId="0" fontId="2" fillId="2" borderId="11" xfId="1" applyBorder="1" applyAlignment="1">
      <alignment horizontal="left" vertical="center" wrapText="1"/>
    </xf>
    <xf numFmtId="0" fontId="3" fillId="3" borderId="11" xfId="2" applyBorder="1" applyAlignment="1">
      <alignment horizontal="left" vertical="center" wrapText="1"/>
    </xf>
    <xf numFmtId="0" fontId="5" fillId="5" borderId="12" xfId="4" applyBorder="1" applyAlignment="1">
      <alignment horizontal="left" vertical="center" wrapText="1"/>
    </xf>
    <xf numFmtId="0" fontId="2" fillId="2" borderId="10" xfId="1" applyBorder="1" applyAlignment="1">
      <alignment horizontal="left" vertical="center" wrapText="1"/>
    </xf>
    <xf numFmtId="0" fontId="3" fillId="3" borderId="10" xfId="2" applyBorder="1" applyAlignment="1">
      <alignment horizontal="left" vertical="center" wrapText="1"/>
    </xf>
    <xf numFmtId="0" fontId="5" fillId="5" borderId="13" xfId="4" applyBorder="1" applyAlignment="1">
      <alignment horizontal="left" vertical="center" wrapText="1"/>
    </xf>
    <xf numFmtId="14" fontId="11" fillId="0" borderId="15" xfId="0" applyNumberFormat="1" applyFont="1" applyBorder="1"/>
    <xf numFmtId="0" fontId="3" fillId="3" borderId="11" xfId="2" applyFont="1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10" fillId="9" borderId="11" xfId="0" applyFont="1" applyFill="1" applyBorder="1" applyAlignment="1">
      <alignment horizontal="left" vertical="center" wrapText="1"/>
    </xf>
    <xf numFmtId="0" fontId="3" fillId="3" borderId="10" xfId="2" applyFont="1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14" fontId="0" fillId="0" borderId="10" xfId="0" applyNumberFormat="1" applyBorder="1" applyAlignment="1">
      <alignment vertical="center" wrapText="1"/>
    </xf>
    <xf numFmtId="14" fontId="2" fillId="2" borderId="14" xfId="1" applyNumberFormat="1" applyBorder="1" applyAlignment="1">
      <alignment vertical="center" wrapText="1"/>
    </xf>
    <xf numFmtId="14" fontId="3" fillId="3" borderId="14" xfId="2" applyNumberFormat="1" applyBorder="1" applyAlignment="1">
      <alignment vertical="center" wrapText="1"/>
    </xf>
    <xf numFmtId="14" fontId="5" fillId="5" borderId="14" xfId="4" applyNumberFormat="1" applyBorder="1" applyAlignment="1">
      <alignment vertical="center" wrapText="1"/>
    </xf>
    <xf numFmtId="14" fontId="9" fillId="3" borderId="16" xfId="2" applyNumberFormat="1" applyFont="1" applyFill="1" applyBorder="1"/>
    <xf numFmtId="14" fontId="0" fillId="7" borderId="0" xfId="0" applyNumberFormat="1" applyFill="1"/>
    <xf numFmtId="14" fontId="10" fillId="0" borderId="10" xfId="0" applyNumberFormat="1" applyFont="1" applyBorder="1" applyAlignment="1">
      <alignment horizontal="left" vertical="center" wrapText="1"/>
    </xf>
    <xf numFmtId="14" fontId="10" fillId="9" borderId="1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</cellXfs>
  <cellStyles count="5">
    <cellStyle name="Bom" xfId="1" builtinId="26"/>
    <cellStyle name="Cálculo" xfId="3" builtinId="22"/>
    <cellStyle name="Neutro" xfId="4" builtinId="28"/>
    <cellStyle name="Normal" xfId="0" builtinId="0"/>
    <cellStyle name="Ruim" xfId="2" builtinId="27"/>
  </cellStyles>
  <dxfs count="75"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numFmt numFmtId="164" formatCode="d/m/yyyy;@"/>
    </dxf>
  </dxfs>
  <tableStyles count="0" defaultTableStyle="TableStyleMedium2" defaultPivotStyle="PivotStyleLight16"/>
  <colors>
    <mruColors>
      <color rgb="FFFF4343"/>
      <color rgb="FFFD1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tilizador Convidado" id="{972081ED-926F-4195-A01E-7CE29A31D3C6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a14" displayName="Tabela14" ref="A1:C577" totalsRowShown="0">
  <autoFilter ref="A1:C577" xr:uid="{00000000-0009-0000-0100-00000E000000}"/>
  <sortState xmlns:xlrd2="http://schemas.microsoft.com/office/spreadsheetml/2017/richdata2" ref="A2:C577">
    <sortCondition ref="B1:B577"/>
  </sortState>
  <tableColumns count="3">
    <tableColumn id="1" xr3:uid="{00000000-0010-0000-0000-000001000000}" name="produtos "/>
    <tableColumn id="2" xr3:uid="{00000000-0010-0000-0000-000002000000}" name="vencimento" dataDxfId="74"/>
    <tableColumn id="3" xr3:uid="{00000000-0010-0000-0000-000003000000}" name="OBS: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2:BS121" totalsRowShown="0" headerRowDxfId="73" headerRowBorderDxfId="72" totalsRowBorderDxfId="71">
  <autoFilter ref="A2:BS121" xr:uid="{00000000-0009-0000-0100-000001000000}">
    <filterColumn colId="0">
      <filters>
        <filter val="SORO 100 ML"/>
        <filter val="SORO 250ML"/>
        <filter val="SORO 500 ML"/>
        <filter val="SORO GLICOSADO 250 ML"/>
        <filter val="SORO GLICOSADO 500 ML"/>
      </filters>
    </filterColumn>
  </autoFilter>
  <sortState xmlns:xlrd2="http://schemas.microsoft.com/office/spreadsheetml/2017/richdata2" ref="A2:C112">
    <sortCondition ref="A2"/>
  </sortState>
  <tableColumns count="71">
    <tableColumn id="1" xr3:uid="{00000000-0010-0000-0100-000001000000}" name="Produto" dataDxfId="70"/>
    <tableColumn id="2" xr3:uid="{00000000-0010-0000-0100-000002000000}" name="Quantidade" dataDxfId="69"/>
    <tableColumn id="3" xr3:uid="{00000000-0010-0000-0100-000003000000}" name="CLAS." dataDxfId="68"/>
    <tableColumn id="4" xr3:uid="{00000000-0010-0000-0100-000004000000}" name="Observação" dataDxfId="67"/>
    <tableColumn id="5" xr3:uid="{00000000-0010-0000-0100-000005000000}" name="ENTRADA" dataDxfId="66"/>
    <tableColumn id="6" xr3:uid="{00000000-0010-0000-0100-000006000000}" name="SAÍDA" dataDxfId="65"/>
    <tableColumn id="7" xr3:uid="{00000000-0010-0000-0100-000007000000}" name="SUBTOTAL" dataDxfId="64"/>
    <tableColumn id="8" xr3:uid="{00000000-0010-0000-0100-000008000000}" name="01/12/2025" dataDxfId="63"/>
    <tableColumn id="9" xr3:uid="{00000000-0010-0000-0100-000009000000}" name="02/12/2025" dataDxfId="62"/>
    <tableColumn id="10" xr3:uid="{00000000-0010-0000-0100-00000A000000}" name="03/12/2025" dataDxfId="61"/>
    <tableColumn id="11" xr3:uid="{00000000-0010-0000-0100-00000B000000}" name="04/12/2025" dataDxfId="60"/>
    <tableColumn id="12" xr3:uid="{00000000-0010-0000-0100-00000C000000}" name="05/12/2025" dataDxfId="59"/>
    <tableColumn id="13" xr3:uid="{00000000-0010-0000-0100-00000D000000}" name="06/12/2025" dataDxfId="58"/>
    <tableColumn id="14" xr3:uid="{00000000-0010-0000-0100-00000E000000}" name="07/12/2025" dataDxfId="57"/>
    <tableColumn id="15" xr3:uid="{00000000-0010-0000-0100-00000F000000}" name="08/12/2025" dataDxfId="56"/>
    <tableColumn id="16" xr3:uid="{00000000-0010-0000-0100-000010000000}" name="09/12/2025" dataDxfId="55"/>
    <tableColumn id="17" xr3:uid="{00000000-0010-0000-0100-000011000000}" name="10/12/2025" dataDxfId="54"/>
    <tableColumn id="18" xr3:uid="{00000000-0010-0000-0100-000012000000}" name="11/12/2025" dataDxfId="53"/>
    <tableColumn id="19" xr3:uid="{00000000-0010-0000-0100-000013000000}" name="12/12/2025" dataDxfId="52"/>
    <tableColumn id="20" xr3:uid="{00000000-0010-0000-0100-000014000000}" name="13/12/2025" dataDxfId="51"/>
    <tableColumn id="21" xr3:uid="{00000000-0010-0000-0100-000015000000}" name="14/12/2025" dataDxfId="50"/>
    <tableColumn id="22" xr3:uid="{00000000-0010-0000-0100-000016000000}" name="15/12/2025" dataDxfId="49"/>
    <tableColumn id="23" xr3:uid="{00000000-0010-0000-0100-000017000000}" name="16/12/2025" dataDxfId="48"/>
    <tableColumn id="24" xr3:uid="{00000000-0010-0000-0100-000018000000}" name="17/12/2025" dataDxfId="47"/>
    <tableColumn id="25" xr3:uid="{00000000-0010-0000-0100-000019000000}" name="18/12/2025" dataDxfId="46"/>
    <tableColumn id="26" xr3:uid="{00000000-0010-0000-0100-00001A000000}" name="19/12/2025" dataDxfId="45"/>
    <tableColumn id="27" xr3:uid="{00000000-0010-0000-0100-00001B000000}" name="20/12/2025" dataDxfId="44"/>
    <tableColumn id="28" xr3:uid="{00000000-0010-0000-0100-00001C000000}" name="21/12/2025" dataDxfId="43"/>
    <tableColumn id="29" xr3:uid="{00000000-0010-0000-0100-00001D000000}" name="22/12/2025" dataDxfId="42"/>
    <tableColumn id="30" xr3:uid="{00000000-0010-0000-0100-00001E000000}" name="23/12/2025" dataDxfId="41"/>
    <tableColumn id="31" xr3:uid="{00000000-0010-0000-0100-00001F000000}" name="24/12/2025" dataDxfId="40"/>
    <tableColumn id="32" xr3:uid="{00000000-0010-0000-0100-000020000000}" name="25/12/2025" dataDxfId="39"/>
    <tableColumn id="33" xr3:uid="{00000000-0010-0000-0100-000021000000}" name="26/12/2025" dataDxfId="38"/>
    <tableColumn id="34" xr3:uid="{00000000-0010-0000-0100-000022000000}" name="27/12/2025" dataDxfId="37"/>
    <tableColumn id="35" xr3:uid="{00000000-0010-0000-0100-000023000000}" name="28/12/2025" dataDxfId="36"/>
    <tableColumn id="36" xr3:uid="{00000000-0010-0000-0100-000024000000}" name="29/12/2025" dataDxfId="35"/>
    <tableColumn id="37" xr3:uid="{00000000-0010-0000-0100-000025000000}" name="30/12/2025" dataDxfId="34"/>
    <tableColumn id="38" xr3:uid="{00000000-0010-0000-0100-000026000000}" name="31/12/2025" dataDxfId="33"/>
    <tableColumn id="39" xr3:uid="{00000000-0010-0000-0100-000027000000}" name="SAIDA" dataDxfId="32"/>
    <tableColumn id="40" xr3:uid="{00000000-0010-0000-0100-000028000000}" name="Colunas1" dataDxfId="31"/>
    <tableColumn id="41" xr3:uid="{00000000-0010-0000-0100-000029000000}" name="Colunas2" dataDxfId="30"/>
    <tableColumn id="42" xr3:uid="{00000000-0010-0000-0100-00002A000000}" name="Colunas3" dataDxfId="29"/>
    <tableColumn id="43" xr3:uid="{00000000-0010-0000-0100-00002B000000}" name="Colunas4" dataDxfId="28"/>
    <tableColumn id="44" xr3:uid="{00000000-0010-0000-0100-00002C000000}" name="Colunas5" dataDxfId="27"/>
    <tableColumn id="45" xr3:uid="{00000000-0010-0000-0100-00002D000000}" name="Colunas6" dataDxfId="26"/>
    <tableColumn id="46" xr3:uid="{00000000-0010-0000-0100-00002E000000}" name="Colunas7" dataDxfId="25"/>
    <tableColumn id="47" xr3:uid="{00000000-0010-0000-0100-00002F000000}" name="Colunas8" dataDxfId="24"/>
    <tableColumn id="48" xr3:uid="{00000000-0010-0000-0100-000030000000}" name="Colunas9" dataDxfId="23"/>
    <tableColumn id="49" xr3:uid="{00000000-0010-0000-0100-000031000000}" name="Colunas10" dataDxfId="22"/>
    <tableColumn id="50" xr3:uid="{00000000-0010-0000-0100-000032000000}" name="Colunas11" dataDxfId="21"/>
    <tableColumn id="51" xr3:uid="{00000000-0010-0000-0100-000033000000}" name="Colunas12" dataDxfId="20"/>
    <tableColumn id="52" xr3:uid="{00000000-0010-0000-0100-000034000000}" name="Colunas13" dataDxfId="19"/>
    <tableColumn id="53" xr3:uid="{00000000-0010-0000-0100-000035000000}" name="Colunas14" dataDxfId="18"/>
    <tableColumn id="54" xr3:uid="{00000000-0010-0000-0100-000036000000}" name="Colunas15" dataDxfId="17"/>
    <tableColumn id="55" xr3:uid="{00000000-0010-0000-0100-000037000000}" name="Colunas16" dataDxfId="16"/>
    <tableColumn id="56" xr3:uid="{00000000-0010-0000-0100-000038000000}" name="Colunas17" dataDxfId="15"/>
    <tableColumn id="57" xr3:uid="{00000000-0010-0000-0100-000039000000}" name="Colunas18" dataDxfId="14"/>
    <tableColumn id="58" xr3:uid="{00000000-0010-0000-0100-00003A000000}" name="Colunas19" dataDxfId="13"/>
    <tableColumn id="59" xr3:uid="{00000000-0010-0000-0100-00003B000000}" name="Colunas20" dataDxfId="12"/>
    <tableColumn id="60" xr3:uid="{00000000-0010-0000-0100-00003C000000}" name="Colunas21" dataDxfId="11"/>
    <tableColumn id="61" xr3:uid="{00000000-0010-0000-0100-00003D000000}" name="Colunas22" dataDxfId="10"/>
    <tableColumn id="62" xr3:uid="{00000000-0010-0000-0100-00003E000000}" name="Colunas23" dataDxfId="9"/>
    <tableColumn id="63" xr3:uid="{00000000-0010-0000-0100-00003F000000}" name="Colunas24" dataDxfId="8"/>
    <tableColumn id="64" xr3:uid="{00000000-0010-0000-0100-000040000000}" name="Colunas25" dataDxfId="7"/>
    <tableColumn id="65" xr3:uid="{00000000-0010-0000-0100-000041000000}" name="Colunas26" dataDxfId="6"/>
    <tableColumn id="66" xr3:uid="{00000000-0010-0000-0100-000042000000}" name="Colunas27" dataDxfId="5"/>
    <tableColumn id="67" xr3:uid="{00000000-0010-0000-0100-000043000000}" name="Colunas28" dataDxfId="4"/>
    <tableColumn id="68" xr3:uid="{00000000-0010-0000-0100-000044000000}" name="Colunas29" dataDxfId="3"/>
    <tableColumn id="69" xr3:uid="{00000000-0010-0000-0100-000045000000}" name="Colunas30" dataDxfId="2"/>
    <tableColumn id="70" xr3:uid="{00000000-0010-0000-0100-000046000000}" name="Colunas31" dataDxfId="1"/>
    <tableColumn id="71" xr3:uid="{00000000-0010-0000-0100-000047000000}" name=" entrad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3" dT="2025-12-12T18:22:55.63" personId="{972081ED-926F-4195-A01E-7CE29A31D3C6}" id="{084AB604-7E76-44EB-B366-1C6DA7A5794C}">
    <text>Atualizado em 12/12/25</text>
  </threadedComment>
  <threadedComment ref="F114" dT="2025-12-12T18:25:34.98" personId="{972081ED-926F-4195-A01E-7CE29A31D3C6}" id="{866FF06B-C3BB-4D92-B181-236AAE17272A}">
    <text>Atualizado em 12/12/25</text>
  </threadedComment>
  <threadedComment ref="F115" dT="2025-12-12T18:25:47.89" personId="{972081ED-926F-4195-A01E-7CE29A31D3C6}" id="{FA3D804E-FFC1-450D-8DE6-F4DEA6EADC5B}">
    <text>Atualizado em 12/12/25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87"/>
  <sheetViews>
    <sheetView showGridLines="0" tabSelected="1" zoomScale="55" zoomScaleNormal="55" workbookViewId="0">
      <pane xSplit="7" ySplit="1" topLeftCell="T13" activePane="bottomRight" state="frozen"/>
      <selection pane="bottomRight" activeCell="F566" sqref="F566"/>
      <selection pane="bottomLeft" activeCell="B4" sqref="B4"/>
      <selection pane="topRight" activeCell="B4" sqref="B4"/>
    </sheetView>
  </sheetViews>
  <sheetFormatPr defaultColWidth="59" defaultRowHeight="14.65"/>
  <cols>
    <col min="1" max="1" width="12.140625" customWidth="1"/>
    <col min="2" max="2" width="70.28515625" bestFit="1" customWidth="1"/>
    <col min="3" max="3" width="14.85546875" bestFit="1" customWidth="1"/>
    <col min="4" max="4" width="21.28515625" style="2" bestFit="1" customWidth="1"/>
    <col min="5" max="5" width="8.28515625" style="7" bestFit="1" customWidth="1"/>
    <col min="6" max="6" width="17.7109375" style="2" customWidth="1"/>
    <col min="7" max="7" width="12.140625" bestFit="1" customWidth="1"/>
    <col min="9" max="9" width="8.42578125" bestFit="1" customWidth="1"/>
    <col min="10" max="17" width="8.28515625" bestFit="1" customWidth="1"/>
    <col min="18" max="18" width="9" bestFit="1" customWidth="1"/>
    <col min="19" max="19" width="8.42578125" bestFit="1" customWidth="1"/>
    <col min="20" max="27" width="9" bestFit="1" customWidth="1"/>
    <col min="28" max="28" width="9.42578125" bestFit="1" customWidth="1"/>
    <col min="29" max="29" width="9" bestFit="1" customWidth="1"/>
    <col min="30" max="38" width="9.42578125" bestFit="1" customWidth="1"/>
    <col min="39" max="39" width="9" bestFit="1" customWidth="1"/>
    <col min="40" max="40" width="9.42578125" bestFit="1" customWidth="1"/>
  </cols>
  <sheetData>
    <row r="1" spans="1:43">
      <c r="A1" s="4" t="s">
        <v>0</v>
      </c>
      <c r="B1" t="s">
        <v>1</v>
      </c>
      <c r="C1" t="s">
        <v>2</v>
      </c>
      <c r="D1" t="s">
        <v>3</v>
      </c>
      <c r="E1" s="3" t="s">
        <v>4</v>
      </c>
      <c r="F1" s="5" t="s">
        <v>5</v>
      </c>
      <c r="G1" s="4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3">
      <c r="A2" s="4">
        <f>-SUM(J2:AN2)</f>
        <v>120</v>
      </c>
      <c r="B2" t="s">
        <v>39</v>
      </c>
      <c r="C2" t="s">
        <v>40</v>
      </c>
      <c r="D2" s="1">
        <v>46327</v>
      </c>
      <c r="E2" s="3">
        <v>5</v>
      </c>
      <c r="F2" s="5">
        <v>100</v>
      </c>
      <c r="G2" s="4">
        <v>0</v>
      </c>
      <c r="I2">
        <f t="shared" ref="I2:I65" si="0">SUM(F2+G2-E2,J2:AN2)</f>
        <v>-25</v>
      </c>
      <c r="M2">
        <v>-120</v>
      </c>
      <c r="AO2" s="3"/>
      <c r="AP2" s="3"/>
    </row>
    <row r="3" spans="1:43">
      <c r="A3" s="4">
        <f>-SUM(J3:AN3)</f>
        <v>120</v>
      </c>
      <c r="B3" t="s">
        <v>41</v>
      </c>
      <c r="C3" t="s">
        <v>40</v>
      </c>
      <c r="D3" s="1">
        <v>46631</v>
      </c>
      <c r="E3" s="3">
        <v>0</v>
      </c>
      <c r="F3" s="5">
        <v>35</v>
      </c>
      <c r="G3" s="4"/>
      <c r="I3">
        <f t="shared" si="0"/>
        <v>-85</v>
      </c>
      <c r="M3">
        <v>-120</v>
      </c>
      <c r="AO3" s="3"/>
      <c r="AP3" s="3"/>
    </row>
    <row r="4" spans="1:43">
      <c r="A4" s="4">
        <f>-SUM(J4:AN4)</f>
        <v>120</v>
      </c>
      <c r="B4" t="s">
        <v>42</v>
      </c>
      <c r="C4" t="s">
        <v>43</v>
      </c>
      <c r="D4" s="1">
        <v>47178</v>
      </c>
      <c r="E4" s="3"/>
      <c r="F4" s="5">
        <v>185</v>
      </c>
      <c r="G4" s="4"/>
      <c r="I4">
        <f t="shared" si="0"/>
        <v>65</v>
      </c>
      <c r="M4">
        <v>-120</v>
      </c>
      <c r="AO4" s="3"/>
      <c r="AP4" s="3"/>
    </row>
    <row r="5" spans="1:43">
      <c r="A5" s="4">
        <f>-SUM(J5:AN5)</f>
        <v>18</v>
      </c>
      <c r="B5" t="s">
        <v>44</v>
      </c>
      <c r="C5" t="s">
        <v>43</v>
      </c>
      <c r="D5" s="1">
        <v>46113</v>
      </c>
      <c r="E5" s="3"/>
      <c r="F5" s="5">
        <v>750</v>
      </c>
      <c r="G5" s="4"/>
      <c r="I5">
        <f t="shared" si="0"/>
        <v>732</v>
      </c>
      <c r="M5">
        <v>-18</v>
      </c>
      <c r="AO5" s="3"/>
      <c r="AP5" s="3"/>
      <c r="AQ5" s="3"/>
    </row>
    <row r="6" spans="1:43">
      <c r="A6" s="4">
        <f>-SUM(J6:AN6)</f>
        <v>10</v>
      </c>
      <c r="B6" t="s">
        <v>45</v>
      </c>
      <c r="C6" t="s">
        <v>46</v>
      </c>
      <c r="D6" s="1"/>
      <c r="E6" s="3"/>
      <c r="F6" s="5">
        <v>0</v>
      </c>
      <c r="G6" s="4"/>
      <c r="I6">
        <f t="shared" si="0"/>
        <v>-10</v>
      </c>
      <c r="M6">
        <v>-10</v>
      </c>
      <c r="AO6" s="3"/>
      <c r="AP6" s="3"/>
    </row>
    <row r="7" spans="1:43">
      <c r="A7" s="4">
        <f>-SUM(J7:AN7)</f>
        <v>10</v>
      </c>
      <c r="B7" t="s">
        <v>47</v>
      </c>
      <c r="C7" t="s">
        <v>43</v>
      </c>
      <c r="D7" s="1"/>
      <c r="E7" s="3"/>
      <c r="F7" s="5">
        <v>241</v>
      </c>
      <c r="G7" s="4"/>
      <c r="I7">
        <f t="shared" si="0"/>
        <v>231</v>
      </c>
      <c r="M7">
        <v>-10</v>
      </c>
      <c r="AO7" s="3"/>
      <c r="AP7" s="3"/>
    </row>
    <row r="8" spans="1:43">
      <c r="A8" s="4">
        <f>-SUM(J8:AN8)</f>
        <v>5</v>
      </c>
      <c r="B8" t="s">
        <v>48</v>
      </c>
      <c r="C8" t="s">
        <v>43</v>
      </c>
      <c r="D8" s="1"/>
      <c r="E8" s="3"/>
      <c r="F8" s="5">
        <v>0</v>
      </c>
      <c r="G8" s="4"/>
      <c r="I8">
        <f t="shared" si="0"/>
        <v>-5</v>
      </c>
      <c r="M8">
        <v>-5</v>
      </c>
      <c r="AO8" s="3"/>
      <c r="AP8" s="3"/>
      <c r="AQ8" s="3"/>
    </row>
    <row r="9" spans="1:43">
      <c r="A9" s="4">
        <f>-SUM(J9:AN9)</f>
        <v>4</v>
      </c>
      <c r="B9" t="s">
        <v>49</v>
      </c>
      <c r="C9" t="s">
        <v>43</v>
      </c>
      <c r="D9" s="1">
        <v>45931</v>
      </c>
      <c r="E9" s="3"/>
      <c r="F9" s="5">
        <v>45</v>
      </c>
      <c r="G9" s="4"/>
      <c r="I9">
        <f t="shared" si="0"/>
        <v>41</v>
      </c>
      <c r="M9">
        <v>-4</v>
      </c>
      <c r="AO9" s="3"/>
      <c r="AP9" s="3"/>
    </row>
    <row r="10" spans="1:43">
      <c r="A10" s="4">
        <f>-SUM(J10:AN10)</f>
        <v>4</v>
      </c>
      <c r="B10" t="s">
        <v>50</v>
      </c>
      <c r="E10" s="3"/>
      <c r="F10" s="8"/>
      <c r="G10" s="4"/>
      <c r="I10">
        <f t="shared" si="0"/>
        <v>-4</v>
      </c>
      <c r="M10">
        <v>-4</v>
      </c>
      <c r="AO10" s="3"/>
      <c r="AP10" s="3"/>
    </row>
    <row r="11" spans="1:43">
      <c r="A11" s="4">
        <f>-SUM(J11:AN11)</f>
        <v>4</v>
      </c>
      <c r="B11" t="s">
        <v>51</v>
      </c>
      <c r="E11" s="3"/>
      <c r="F11" s="8"/>
      <c r="G11" s="4"/>
      <c r="I11">
        <f t="shared" si="0"/>
        <v>-4</v>
      </c>
      <c r="M11">
        <v>-4</v>
      </c>
      <c r="AO11" s="3"/>
      <c r="AP11" s="3"/>
      <c r="AQ11" s="3"/>
    </row>
    <row r="12" spans="1:43">
      <c r="A12" s="4">
        <f>-SUM(J12:AN12)</f>
        <v>3</v>
      </c>
      <c r="B12" t="s">
        <v>52</v>
      </c>
      <c r="E12" s="3"/>
      <c r="F12" s="8"/>
      <c r="G12" s="4"/>
      <c r="I12">
        <f t="shared" si="0"/>
        <v>-3</v>
      </c>
      <c r="M12">
        <v>-3</v>
      </c>
      <c r="AO12" s="3"/>
      <c r="AP12" s="3"/>
    </row>
    <row r="13" spans="1:43">
      <c r="A13" s="4">
        <f>-SUM(J13:AN13)</f>
        <v>3</v>
      </c>
      <c r="B13" t="s">
        <v>53</v>
      </c>
      <c r="C13" t="s">
        <v>54</v>
      </c>
      <c r="D13"/>
      <c r="E13" s="3"/>
      <c r="F13" s="5">
        <v>173</v>
      </c>
      <c r="G13" s="4"/>
      <c r="I13">
        <f t="shared" si="0"/>
        <v>170</v>
      </c>
      <c r="M13">
        <v>-3</v>
      </c>
      <c r="AO13" s="3"/>
      <c r="AP13" s="3"/>
      <c r="AQ13" s="3"/>
    </row>
    <row r="14" spans="1:43">
      <c r="A14" s="4">
        <f>-SUM(J14:AN14)</f>
        <v>2</v>
      </c>
      <c r="B14" t="s">
        <v>55</v>
      </c>
      <c r="C14" t="s">
        <v>54</v>
      </c>
      <c r="D14"/>
      <c r="E14" s="3"/>
      <c r="F14" s="5">
        <v>106</v>
      </c>
      <c r="G14" s="4"/>
      <c r="I14">
        <f t="shared" si="0"/>
        <v>104</v>
      </c>
      <c r="M14">
        <v>-2</v>
      </c>
      <c r="AO14" s="3"/>
      <c r="AP14" s="3"/>
    </row>
    <row r="15" spans="1:43">
      <c r="A15" s="4">
        <f>-SUM(J15:AN15)</f>
        <v>2</v>
      </c>
      <c r="B15" t="s">
        <v>56</v>
      </c>
      <c r="C15" t="s">
        <v>54</v>
      </c>
      <c r="D15"/>
      <c r="E15" s="3"/>
      <c r="F15" s="5">
        <v>68</v>
      </c>
      <c r="G15" s="4"/>
      <c r="I15">
        <f t="shared" si="0"/>
        <v>66</v>
      </c>
      <c r="M15">
        <v>-2</v>
      </c>
      <c r="AO15" s="3"/>
      <c r="AP15" s="3"/>
      <c r="AQ15" s="3"/>
    </row>
    <row r="16" spans="1:43">
      <c r="A16" s="4">
        <f>-SUM(J16:AN16)</f>
        <v>2</v>
      </c>
      <c r="B16" t="s">
        <v>57</v>
      </c>
      <c r="C16" t="s">
        <v>54</v>
      </c>
      <c r="D16"/>
      <c r="E16" s="3"/>
      <c r="F16" s="5">
        <v>71</v>
      </c>
      <c r="G16" s="4"/>
      <c r="I16">
        <f t="shared" si="0"/>
        <v>69</v>
      </c>
      <c r="M16">
        <v>-2</v>
      </c>
      <c r="AO16" s="3"/>
      <c r="AP16" s="3"/>
      <c r="AQ16" s="3"/>
    </row>
    <row r="17" spans="1:43">
      <c r="A17" s="4">
        <f>-SUM(J17:AN17)</f>
        <v>2</v>
      </c>
      <c r="B17" t="s">
        <v>58</v>
      </c>
      <c r="C17" t="s">
        <v>54</v>
      </c>
      <c r="D17"/>
      <c r="E17" s="3"/>
      <c r="F17" s="5">
        <v>137</v>
      </c>
      <c r="G17" s="4"/>
      <c r="I17">
        <f t="shared" si="0"/>
        <v>135</v>
      </c>
      <c r="M17">
        <v>-2</v>
      </c>
      <c r="AO17" s="3"/>
      <c r="AP17" s="3"/>
      <c r="AQ17" s="3"/>
    </row>
    <row r="18" spans="1:43">
      <c r="A18" s="4">
        <f>-SUM(J18:AN18)</f>
        <v>2</v>
      </c>
      <c r="B18" t="s">
        <v>59</v>
      </c>
      <c r="C18" t="s">
        <v>54</v>
      </c>
      <c r="D18"/>
      <c r="E18" s="3"/>
      <c r="F18" s="5">
        <v>49</v>
      </c>
      <c r="G18" s="4"/>
      <c r="I18">
        <f t="shared" si="0"/>
        <v>47</v>
      </c>
      <c r="M18">
        <v>-2</v>
      </c>
      <c r="AO18" s="3"/>
      <c r="AP18" s="3"/>
      <c r="AQ18" s="3"/>
    </row>
    <row r="19" spans="1:43">
      <c r="A19" s="4">
        <f>-SUM(J19:AN19)</f>
        <v>2</v>
      </c>
      <c r="B19" t="s">
        <v>60</v>
      </c>
      <c r="C19" t="s">
        <v>46</v>
      </c>
      <c r="D19"/>
      <c r="E19" s="3"/>
      <c r="F19" s="5">
        <v>0</v>
      </c>
      <c r="G19" s="4"/>
      <c r="I19">
        <f t="shared" si="0"/>
        <v>-2</v>
      </c>
      <c r="M19">
        <v>-2</v>
      </c>
      <c r="AO19" s="3"/>
      <c r="AP19" s="3"/>
      <c r="AQ19" s="3"/>
    </row>
    <row r="20" spans="1:43">
      <c r="A20" s="4">
        <f>-SUM(J20:AN20)</f>
        <v>2</v>
      </c>
      <c r="B20" t="s">
        <v>61</v>
      </c>
      <c r="E20" s="3"/>
      <c r="F20" s="8"/>
      <c r="G20" s="4"/>
      <c r="I20">
        <f t="shared" si="0"/>
        <v>-2</v>
      </c>
      <c r="M20">
        <v>-2</v>
      </c>
      <c r="AO20" s="3"/>
      <c r="AP20" s="3"/>
      <c r="AQ20" s="3"/>
    </row>
    <row r="21" spans="1:43">
      <c r="A21" s="4">
        <f>-SUM(J21:AN21)</f>
        <v>2</v>
      </c>
      <c r="B21" t="s">
        <v>62</v>
      </c>
      <c r="C21" t="s">
        <v>43</v>
      </c>
      <c r="D21" s="1">
        <v>46296</v>
      </c>
      <c r="E21" s="3"/>
      <c r="F21" s="5">
        <v>50</v>
      </c>
      <c r="G21" s="4"/>
      <c r="I21">
        <f t="shared" si="0"/>
        <v>48</v>
      </c>
      <c r="M21">
        <v>-2</v>
      </c>
      <c r="AO21" s="3"/>
      <c r="AP21" s="3"/>
      <c r="AQ21" s="3"/>
    </row>
    <row r="22" spans="1:43">
      <c r="A22" s="4">
        <f>-SUM(J22:AN22)</f>
        <v>1</v>
      </c>
      <c r="B22" t="s">
        <v>63</v>
      </c>
      <c r="C22" t="s">
        <v>40</v>
      </c>
      <c r="D22" s="1">
        <v>45839</v>
      </c>
      <c r="E22" s="3"/>
      <c r="F22" s="5">
        <v>118</v>
      </c>
      <c r="G22" s="4"/>
      <c r="I22">
        <f t="shared" si="0"/>
        <v>117</v>
      </c>
      <c r="M22">
        <v>-1</v>
      </c>
      <c r="AO22" s="3"/>
      <c r="AP22" s="3"/>
    </row>
    <row r="23" spans="1:43">
      <c r="A23" s="4">
        <f>-SUM(J23:AN23)</f>
        <v>1</v>
      </c>
      <c r="B23" t="s">
        <v>64</v>
      </c>
      <c r="E23" s="3"/>
      <c r="F23" s="8"/>
      <c r="G23" s="4"/>
      <c r="I23">
        <f t="shared" si="0"/>
        <v>-1</v>
      </c>
      <c r="M23">
        <v>-1</v>
      </c>
      <c r="AO23" s="3"/>
      <c r="AP23" s="3"/>
      <c r="AQ23" s="3"/>
    </row>
    <row r="24" spans="1:43">
      <c r="A24" s="4">
        <f>-SUM(J24:AN24)</f>
        <v>0</v>
      </c>
      <c r="B24" t="s">
        <v>65</v>
      </c>
      <c r="C24" t="s">
        <v>54</v>
      </c>
      <c r="D24" s="1"/>
      <c r="E24" s="3"/>
      <c r="F24" s="5">
        <v>0</v>
      </c>
      <c r="G24" s="4"/>
      <c r="I24">
        <f t="shared" si="0"/>
        <v>0</v>
      </c>
      <c r="L24">
        <v>0</v>
      </c>
      <c r="M24">
        <v>0</v>
      </c>
      <c r="AO24" s="3"/>
      <c r="AP24" s="3"/>
    </row>
    <row r="25" spans="1:43">
      <c r="A25" s="4">
        <f>-SUM(J25:AN25)</f>
        <v>0</v>
      </c>
      <c r="B25" t="s">
        <v>66</v>
      </c>
      <c r="C25" t="s">
        <v>46</v>
      </c>
      <c r="D25" s="1"/>
      <c r="E25" s="3"/>
      <c r="F25" s="5">
        <v>0</v>
      </c>
      <c r="G25" s="4"/>
      <c r="I25">
        <f t="shared" si="0"/>
        <v>0</v>
      </c>
      <c r="M25">
        <v>0</v>
      </c>
      <c r="AO25" s="3"/>
      <c r="AP25" s="3"/>
    </row>
    <row r="26" spans="1:43">
      <c r="A26" s="4">
        <f>-SUM(J26:AN26)</f>
        <v>0</v>
      </c>
      <c r="B26" t="s">
        <v>67</v>
      </c>
      <c r="C26" t="s">
        <v>43</v>
      </c>
      <c r="D26" s="1">
        <v>47178</v>
      </c>
      <c r="E26" s="3"/>
      <c r="F26" s="5">
        <v>70</v>
      </c>
      <c r="G26" s="4"/>
      <c r="I26">
        <f t="shared" si="0"/>
        <v>70</v>
      </c>
      <c r="M26">
        <v>0</v>
      </c>
      <c r="AO26" s="3"/>
      <c r="AP26" s="3"/>
    </row>
    <row r="27" spans="1:43">
      <c r="A27" s="4">
        <f>-SUM(J27:AN27)</f>
        <v>0</v>
      </c>
      <c r="B27" t="s">
        <v>68</v>
      </c>
      <c r="C27" t="s">
        <v>46</v>
      </c>
      <c r="D27"/>
      <c r="E27" s="3"/>
      <c r="F27" s="5">
        <v>0</v>
      </c>
      <c r="G27" s="4"/>
      <c r="I27">
        <f t="shared" si="0"/>
        <v>0</v>
      </c>
      <c r="M27">
        <v>0</v>
      </c>
      <c r="AO27" s="3"/>
      <c r="AP27" s="3"/>
    </row>
    <row r="28" spans="1:43">
      <c r="A28" s="4">
        <f>-SUM(J28:AN28)</f>
        <v>0</v>
      </c>
      <c r="B28" t="s">
        <v>69</v>
      </c>
      <c r="C28" t="s">
        <v>46</v>
      </c>
      <c r="D28"/>
      <c r="E28" s="3"/>
      <c r="F28" s="5">
        <v>0</v>
      </c>
      <c r="G28" s="4"/>
      <c r="I28">
        <f t="shared" si="0"/>
        <v>0</v>
      </c>
      <c r="M28">
        <v>0</v>
      </c>
      <c r="AO28" s="3"/>
      <c r="AP28" s="3"/>
    </row>
    <row r="29" spans="1:43">
      <c r="A29" s="4">
        <f>-SUM(J29:AN29)</f>
        <v>0</v>
      </c>
      <c r="B29" t="s">
        <v>70</v>
      </c>
      <c r="C29" t="s">
        <v>43</v>
      </c>
      <c r="D29" s="1"/>
      <c r="E29" s="3"/>
      <c r="F29" s="5">
        <v>39</v>
      </c>
      <c r="G29" s="4"/>
      <c r="I29">
        <f t="shared" si="0"/>
        <v>39</v>
      </c>
      <c r="M29">
        <v>0</v>
      </c>
      <c r="AO29" s="3"/>
      <c r="AP29" s="3"/>
    </row>
    <row r="30" spans="1:43">
      <c r="A30" s="4">
        <f>-SUM(J30:AN30)</f>
        <v>0</v>
      </c>
      <c r="B30" t="s">
        <v>70</v>
      </c>
      <c r="C30" t="s">
        <v>43</v>
      </c>
      <c r="D30"/>
      <c r="E30" s="3"/>
      <c r="F30" s="5">
        <v>54</v>
      </c>
      <c r="G30" s="4"/>
      <c r="I30">
        <f t="shared" si="0"/>
        <v>54</v>
      </c>
      <c r="M30">
        <v>0</v>
      </c>
      <c r="AO30" s="3"/>
      <c r="AP30" s="3"/>
    </row>
    <row r="31" spans="1:43">
      <c r="A31" s="4">
        <f>-SUM(J31:AN31)</f>
        <v>0</v>
      </c>
      <c r="B31" t="s">
        <v>71</v>
      </c>
      <c r="C31" t="s">
        <v>43</v>
      </c>
      <c r="D31" s="1"/>
      <c r="E31" s="3"/>
      <c r="F31" s="5">
        <v>0</v>
      </c>
      <c r="G31" s="4"/>
      <c r="I31">
        <f t="shared" si="0"/>
        <v>0</v>
      </c>
      <c r="M31">
        <v>0</v>
      </c>
      <c r="AO31" s="3"/>
      <c r="AP31" s="3"/>
    </row>
    <row r="32" spans="1:43">
      <c r="A32" s="4">
        <f>-SUM(J32:AN32)</f>
        <v>0</v>
      </c>
      <c r="B32" t="s">
        <v>72</v>
      </c>
      <c r="C32" t="s">
        <v>43</v>
      </c>
      <c r="D32" s="1"/>
      <c r="E32" s="3"/>
      <c r="F32" s="5">
        <v>0</v>
      </c>
      <c r="G32" s="4"/>
      <c r="I32">
        <f t="shared" si="0"/>
        <v>0</v>
      </c>
      <c r="M32">
        <v>0</v>
      </c>
      <c r="AO32" s="3"/>
      <c r="AP32" s="3"/>
    </row>
    <row r="33" spans="1:42">
      <c r="A33" s="4">
        <f>-SUM(J33:AN33)</f>
        <v>0</v>
      </c>
      <c r="B33" t="s">
        <v>73</v>
      </c>
      <c r="E33" s="3"/>
      <c r="F33" s="8"/>
      <c r="G33" s="4"/>
      <c r="I33">
        <f t="shared" si="0"/>
        <v>0</v>
      </c>
      <c r="M33">
        <v>0</v>
      </c>
      <c r="AO33" s="3"/>
      <c r="AP33" s="3"/>
    </row>
    <row r="34" spans="1:42">
      <c r="A34" s="4">
        <f>-SUM(J34:AN34)</f>
        <v>0</v>
      </c>
      <c r="B34" t="s">
        <v>74</v>
      </c>
      <c r="C34" t="s">
        <v>46</v>
      </c>
      <c r="D34" s="1"/>
      <c r="E34" s="3"/>
      <c r="F34" s="5">
        <v>0</v>
      </c>
      <c r="G34" s="4"/>
      <c r="I34">
        <f t="shared" si="0"/>
        <v>0</v>
      </c>
      <c r="M34">
        <v>0</v>
      </c>
      <c r="AO34" s="3"/>
      <c r="AP34" s="3"/>
    </row>
    <row r="35" spans="1:42">
      <c r="A35" s="4">
        <f>-SUM(J35:AN35)</f>
        <v>0</v>
      </c>
      <c r="B35" t="s">
        <v>75</v>
      </c>
      <c r="E35" s="3"/>
      <c r="F35" s="8"/>
      <c r="G35" s="4"/>
      <c r="I35">
        <f t="shared" si="0"/>
        <v>0</v>
      </c>
      <c r="M35">
        <v>0</v>
      </c>
      <c r="AO35" s="3"/>
      <c r="AP35" s="3"/>
    </row>
    <row r="36" spans="1:42">
      <c r="A36" s="4">
        <f>-SUM(J36:AN36)</f>
        <v>0</v>
      </c>
      <c r="B36" t="s">
        <v>76</v>
      </c>
      <c r="C36" t="s">
        <v>43</v>
      </c>
      <c r="D36" s="1"/>
      <c r="E36" s="3"/>
      <c r="F36" s="8">
        <v>0</v>
      </c>
      <c r="G36" s="4"/>
      <c r="I36">
        <f t="shared" si="0"/>
        <v>0</v>
      </c>
      <c r="M36">
        <v>0</v>
      </c>
      <c r="AO36" s="3"/>
      <c r="AP36" s="3"/>
    </row>
    <row r="37" spans="1:42">
      <c r="A37" s="4">
        <f>-SUM(J37:AN37)</f>
        <v>0</v>
      </c>
      <c r="B37" t="s">
        <v>77</v>
      </c>
      <c r="C37" t="s">
        <v>43</v>
      </c>
      <c r="D37" s="1">
        <v>47150</v>
      </c>
      <c r="E37" s="3"/>
      <c r="F37" s="8">
        <v>60</v>
      </c>
      <c r="G37" s="4"/>
      <c r="I37">
        <f t="shared" si="0"/>
        <v>60</v>
      </c>
      <c r="M37">
        <v>0</v>
      </c>
      <c r="AO37" s="3"/>
      <c r="AP37" s="3"/>
    </row>
    <row r="38" spans="1:42">
      <c r="A38" s="4">
        <f>-SUM(J38:AN38)</f>
        <v>0</v>
      </c>
      <c r="B38" t="s">
        <v>78</v>
      </c>
      <c r="C38" t="s">
        <v>43</v>
      </c>
      <c r="D38" s="1">
        <v>47150</v>
      </c>
      <c r="E38" s="3"/>
      <c r="F38" s="8">
        <v>60</v>
      </c>
      <c r="G38" s="4"/>
      <c r="I38">
        <f t="shared" si="0"/>
        <v>60</v>
      </c>
      <c r="M38">
        <v>0</v>
      </c>
      <c r="AO38" s="3"/>
      <c r="AP38" s="3"/>
    </row>
    <row r="39" spans="1:42">
      <c r="A39" s="4">
        <f>-SUM(J39:AN39)</f>
        <v>0</v>
      </c>
      <c r="B39" t="s">
        <v>79</v>
      </c>
      <c r="C39" t="s">
        <v>46</v>
      </c>
      <c r="D39" s="1"/>
      <c r="E39" s="3"/>
      <c r="F39" s="5">
        <v>0</v>
      </c>
      <c r="G39" s="4"/>
      <c r="I39">
        <f t="shared" si="0"/>
        <v>0</v>
      </c>
      <c r="M39">
        <v>0</v>
      </c>
      <c r="AO39" s="3"/>
      <c r="AP39" s="3"/>
    </row>
    <row r="40" spans="1:42">
      <c r="A40" s="4">
        <f>-SUM(J40:AN40)</f>
        <v>0</v>
      </c>
      <c r="B40" t="s">
        <v>80</v>
      </c>
      <c r="C40" t="s">
        <v>46</v>
      </c>
      <c r="D40" s="1"/>
      <c r="E40" s="3"/>
      <c r="F40" s="5">
        <v>0</v>
      </c>
      <c r="G40" s="4"/>
      <c r="I40">
        <f t="shared" si="0"/>
        <v>0</v>
      </c>
      <c r="M40">
        <v>0</v>
      </c>
      <c r="AO40" s="3"/>
      <c r="AP40" s="3"/>
    </row>
    <row r="41" spans="1:42">
      <c r="A41" s="4">
        <f>-SUM(J41:AN41)</f>
        <v>0</v>
      </c>
      <c r="B41" t="s">
        <v>81</v>
      </c>
      <c r="C41" t="s">
        <v>82</v>
      </c>
      <c r="D41" s="1"/>
      <c r="E41" s="3"/>
      <c r="F41" s="5">
        <v>0</v>
      </c>
      <c r="G41" s="4"/>
      <c r="I41">
        <f t="shared" si="0"/>
        <v>0</v>
      </c>
      <c r="M41">
        <v>0</v>
      </c>
      <c r="AO41" s="3"/>
      <c r="AP41" s="3"/>
    </row>
    <row r="42" spans="1:42">
      <c r="A42" s="4">
        <f>-SUM(J42:AN42)</f>
        <v>0</v>
      </c>
      <c r="B42" t="s">
        <v>83</v>
      </c>
      <c r="C42" t="s">
        <v>46</v>
      </c>
      <c r="D42"/>
      <c r="E42" s="3"/>
      <c r="F42" s="5">
        <v>0</v>
      </c>
      <c r="G42" s="4"/>
      <c r="I42">
        <f t="shared" si="0"/>
        <v>0</v>
      </c>
      <c r="M42">
        <v>0</v>
      </c>
      <c r="AO42" s="3"/>
      <c r="AP42" s="3"/>
    </row>
    <row r="43" spans="1:42">
      <c r="A43" s="4">
        <f>-SUM(J43:AN43)</f>
        <v>0</v>
      </c>
      <c r="B43" t="s">
        <v>84</v>
      </c>
      <c r="C43" t="s">
        <v>46</v>
      </c>
      <c r="D43"/>
      <c r="E43" s="3"/>
      <c r="F43" s="5">
        <v>0</v>
      </c>
      <c r="G43" s="4"/>
      <c r="I43">
        <f t="shared" si="0"/>
        <v>0</v>
      </c>
      <c r="M43">
        <v>0</v>
      </c>
      <c r="AO43" s="3"/>
      <c r="AP43" s="3"/>
    </row>
    <row r="44" spans="1:42">
      <c r="A44" s="4">
        <f>-SUM(J44:AN44)</f>
        <v>0</v>
      </c>
      <c r="B44" t="s">
        <v>85</v>
      </c>
      <c r="C44" t="s">
        <v>46</v>
      </c>
      <c r="D44"/>
      <c r="E44" s="3"/>
      <c r="F44" s="5">
        <v>0</v>
      </c>
      <c r="G44" s="4"/>
      <c r="I44">
        <f t="shared" si="0"/>
        <v>0</v>
      </c>
      <c r="M44">
        <v>0</v>
      </c>
      <c r="AO44" s="3"/>
      <c r="AP44" s="3"/>
    </row>
    <row r="45" spans="1:42">
      <c r="A45" s="4">
        <f>-SUM(J45:AN45)</f>
        <v>0</v>
      </c>
      <c r="B45" t="s">
        <v>86</v>
      </c>
      <c r="C45" t="s">
        <v>46</v>
      </c>
      <c r="D45"/>
      <c r="E45" s="3"/>
      <c r="F45" s="5">
        <v>0</v>
      </c>
      <c r="G45" s="4"/>
      <c r="I45">
        <f t="shared" si="0"/>
        <v>0</v>
      </c>
      <c r="M45">
        <v>0</v>
      </c>
      <c r="AO45" s="3"/>
      <c r="AP45" s="3"/>
    </row>
    <row r="46" spans="1:42">
      <c r="A46" s="4">
        <f>-SUM(J46:AN46)</f>
        <v>0</v>
      </c>
      <c r="B46" t="s">
        <v>87</v>
      </c>
      <c r="C46" t="s">
        <v>88</v>
      </c>
      <c r="D46"/>
      <c r="E46" s="3"/>
      <c r="F46" s="5">
        <v>69</v>
      </c>
      <c r="G46" s="4"/>
      <c r="I46">
        <f t="shared" si="0"/>
        <v>69</v>
      </c>
      <c r="M46">
        <v>0</v>
      </c>
      <c r="AO46" s="3"/>
      <c r="AP46" s="3"/>
    </row>
    <row r="47" spans="1:42">
      <c r="A47" s="4">
        <f>-SUM(J47:AN47)</f>
        <v>0</v>
      </c>
      <c r="B47" t="s">
        <v>89</v>
      </c>
      <c r="E47" s="3"/>
      <c r="F47" s="8"/>
      <c r="G47" s="4"/>
      <c r="I47">
        <f t="shared" si="0"/>
        <v>0</v>
      </c>
      <c r="M47">
        <v>0</v>
      </c>
      <c r="AO47" s="3"/>
      <c r="AP47" s="3"/>
    </row>
    <row r="48" spans="1:42">
      <c r="A48" s="4">
        <f>-SUM(J48:AN48)</f>
        <v>0</v>
      </c>
      <c r="B48" t="s">
        <v>90</v>
      </c>
      <c r="E48" s="3"/>
      <c r="F48" s="8"/>
      <c r="G48" s="4"/>
      <c r="I48">
        <f t="shared" si="0"/>
        <v>0</v>
      </c>
      <c r="M48">
        <v>0</v>
      </c>
      <c r="AO48" s="3"/>
      <c r="AP48" s="3"/>
    </row>
    <row r="49" spans="1:42">
      <c r="A49" s="4">
        <f>-SUM(J49:AN49)</f>
        <v>0</v>
      </c>
      <c r="B49" t="s">
        <v>91</v>
      </c>
      <c r="C49" t="s">
        <v>82</v>
      </c>
      <c r="D49" s="1"/>
      <c r="E49" s="3"/>
      <c r="F49" s="5">
        <v>0</v>
      </c>
      <c r="G49" s="4"/>
      <c r="I49">
        <f t="shared" si="0"/>
        <v>0</v>
      </c>
      <c r="M49">
        <v>0</v>
      </c>
      <c r="AO49" s="3"/>
      <c r="AP49" s="3"/>
    </row>
    <row r="50" spans="1:42">
      <c r="A50" s="4">
        <f>-SUM(J50:AN50)</f>
        <v>0</v>
      </c>
      <c r="B50" t="s">
        <v>92</v>
      </c>
      <c r="E50" s="3"/>
      <c r="F50" s="8"/>
      <c r="G50" s="4"/>
      <c r="I50">
        <f t="shared" si="0"/>
        <v>0</v>
      </c>
      <c r="M50">
        <v>0</v>
      </c>
      <c r="AO50" s="3"/>
      <c r="AP50" s="3"/>
    </row>
    <row r="51" spans="1:42">
      <c r="A51" s="4">
        <f>-SUM(J51:AN51)</f>
        <v>0</v>
      </c>
      <c r="B51" t="s">
        <v>93</v>
      </c>
      <c r="E51" s="3"/>
      <c r="F51" s="8"/>
      <c r="G51" s="4"/>
      <c r="I51">
        <f t="shared" si="0"/>
        <v>0</v>
      </c>
      <c r="M51">
        <v>0</v>
      </c>
      <c r="AO51" s="3"/>
      <c r="AP51" s="3"/>
    </row>
    <row r="52" spans="1:42">
      <c r="A52" s="4">
        <f>-SUM(J52:AN52)</f>
        <v>0</v>
      </c>
      <c r="B52" t="s">
        <v>94</v>
      </c>
      <c r="E52" s="3"/>
      <c r="F52" s="8"/>
      <c r="G52" s="4"/>
      <c r="I52">
        <f t="shared" si="0"/>
        <v>0</v>
      </c>
      <c r="M52">
        <v>0</v>
      </c>
      <c r="AO52" s="3"/>
      <c r="AP52" s="3"/>
    </row>
    <row r="53" spans="1:42">
      <c r="A53" s="4">
        <f>-SUM(J53:AN53)</f>
        <v>0</v>
      </c>
      <c r="B53" t="s">
        <v>95</v>
      </c>
      <c r="C53" t="s">
        <v>46</v>
      </c>
      <c r="D53" s="1"/>
      <c r="E53" s="3"/>
      <c r="F53" s="5">
        <v>0</v>
      </c>
      <c r="G53" s="4"/>
      <c r="I53">
        <f t="shared" si="0"/>
        <v>0</v>
      </c>
      <c r="M53">
        <v>0</v>
      </c>
      <c r="AO53" s="3"/>
      <c r="AP53" s="3"/>
    </row>
    <row r="54" spans="1:42">
      <c r="A54" s="4">
        <f>-SUM(J54:AN54)</f>
        <v>0</v>
      </c>
      <c r="B54" t="s">
        <v>96</v>
      </c>
      <c r="C54" t="s">
        <v>46</v>
      </c>
      <c r="D54" s="1"/>
      <c r="E54" s="3"/>
      <c r="F54" s="5">
        <v>0</v>
      </c>
      <c r="G54" s="4"/>
      <c r="I54">
        <f t="shared" si="0"/>
        <v>0</v>
      </c>
      <c r="M54">
        <v>0</v>
      </c>
      <c r="AO54" s="3"/>
      <c r="AP54" s="3"/>
    </row>
    <row r="55" spans="1:42">
      <c r="A55" s="4">
        <f>-SUM(J55:AN55)</f>
        <v>0</v>
      </c>
      <c r="B55" t="s">
        <v>97</v>
      </c>
      <c r="C55" t="s">
        <v>46</v>
      </c>
      <c r="D55" s="1"/>
      <c r="E55" s="3"/>
      <c r="F55" s="5">
        <v>0</v>
      </c>
      <c r="G55" s="4"/>
      <c r="I55">
        <f t="shared" si="0"/>
        <v>0</v>
      </c>
      <c r="M55">
        <v>0</v>
      </c>
      <c r="AO55" s="3"/>
      <c r="AP55" s="3"/>
    </row>
    <row r="56" spans="1:42">
      <c r="A56" s="4">
        <f>-SUM(J56:AN56)</f>
        <v>0</v>
      </c>
      <c r="B56" t="s">
        <v>98</v>
      </c>
      <c r="C56" t="s">
        <v>46</v>
      </c>
      <c r="D56" s="1"/>
      <c r="E56" s="3"/>
      <c r="F56" s="5">
        <v>0</v>
      </c>
      <c r="G56" s="4"/>
      <c r="I56">
        <f t="shared" si="0"/>
        <v>0</v>
      </c>
      <c r="M56">
        <v>0</v>
      </c>
      <c r="AO56" s="3"/>
      <c r="AP56" s="3"/>
    </row>
    <row r="57" spans="1:42">
      <c r="A57" s="4">
        <f>-SUM(J57:AN57)</f>
        <v>0</v>
      </c>
      <c r="B57" t="s">
        <v>99</v>
      </c>
      <c r="C57" t="s">
        <v>43</v>
      </c>
      <c r="D57" s="1" t="s">
        <v>100</v>
      </c>
      <c r="E57" s="3"/>
      <c r="F57" s="5">
        <v>61</v>
      </c>
      <c r="G57" s="4"/>
      <c r="I57">
        <f t="shared" si="0"/>
        <v>61</v>
      </c>
      <c r="M57">
        <v>0</v>
      </c>
      <c r="AO57" s="3"/>
      <c r="AP57" s="3"/>
    </row>
    <row r="58" spans="1:42">
      <c r="A58" s="4">
        <f>-SUM(J58:AN58)</f>
        <v>0</v>
      </c>
      <c r="B58" t="s">
        <v>101</v>
      </c>
      <c r="C58" t="s">
        <v>43</v>
      </c>
      <c r="D58" s="1" t="s">
        <v>102</v>
      </c>
      <c r="E58" s="3"/>
      <c r="F58" s="5">
        <v>30</v>
      </c>
      <c r="G58" s="4"/>
      <c r="I58">
        <f t="shared" si="0"/>
        <v>30</v>
      </c>
      <c r="M58">
        <v>0</v>
      </c>
      <c r="AO58" s="3"/>
      <c r="AP58" s="3"/>
    </row>
    <row r="59" spans="1:42">
      <c r="A59" s="4">
        <f>-SUM(J59:AN59)</f>
        <v>0</v>
      </c>
      <c r="B59" t="s">
        <v>103</v>
      </c>
      <c r="C59" t="s">
        <v>43</v>
      </c>
      <c r="D59" s="1" t="s">
        <v>100</v>
      </c>
      <c r="E59" s="3"/>
      <c r="F59" s="5">
        <v>685</v>
      </c>
      <c r="G59" s="4"/>
      <c r="I59">
        <f t="shared" si="0"/>
        <v>685</v>
      </c>
      <c r="M59">
        <v>0</v>
      </c>
      <c r="AO59" s="3"/>
      <c r="AP59" s="3"/>
    </row>
    <row r="60" spans="1:42">
      <c r="A60" s="4">
        <f>-SUM(J60:AN60)</f>
        <v>0</v>
      </c>
      <c r="B60" t="s">
        <v>104</v>
      </c>
      <c r="E60" s="3"/>
      <c r="F60" s="8"/>
      <c r="G60" s="4"/>
      <c r="I60">
        <f t="shared" si="0"/>
        <v>0</v>
      </c>
      <c r="M60">
        <v>0</v>
      </c>
      <c r="AO60" s="3"/>
      <c r="AP60" s="3"/>
    </row>
    <row r="61" spans="1:42">
      <c r="A61" s="4">
        <f>-SUM(J61:AN61)</f>
        <v>0</v>
      </c>
      <c r="B61" t="s">
        <v>104</v>
      </c>
      <c r="E61" s="3"/>
      <c r="F61" s="8"/>
      <c r="G61" s="4"/>
      <c r="I61">
        <f t="shared" si="0"/>
        <v>0</v>
      </c>
      <c r="M61">
        <v>0</v>
      </c>
      <c r="AO61" s="3"/>
      <c r="AP61" s="3"/>
    </row>
    <row r="62" spans="1:42">
      <c r="A62" s="4">
        <f>-SUM(J62:AN62)</f>
        <v>0</v>
      </c>
      <c r="B62" t="s">
        <v>105</v>
      </c>
      <c r="C62" t="s">
        <v>46</v>
      </c>
      <c r="D62"/>
      <c r="E62" s="3"/>
      <c r="F62" s="5">
        <v>0</v>
      </c>
      <c r="G62" s="4"/>
      <c r="I62">
        <f t="shared" si="0"/>
        <v>0</v>
      </c>
      <c r="M62">
        <v>0</v>
      </c>
      <c r="AO62" s="3"/>
      <c r="AP62" s="3"/>
    </row>
    <row r="63" spans="1:42">
      <c r="A63" s="4">
        <f>-SUM(J63:AN63)</f>
        <v>0</v>
      </c>
      <c r="B63" t="s">
        <v>106</v>
      </c>
      <c r="C63" t="s">
        <v>43</v>
      </c>
      <c r="D63"/>
      <c r="E63" s="3"/>
      <c r="F63" s="5">
        <v>256</v>
      </c>
      <c r="G63" s="4"/>
      <c r="I63">
        <f t="shared" si="0"/>
        <v>256</v>
      </c>
      <c r="M63">
        <v>0</v>
      </c>
      <c r="AO63" s="3"/>
      <c r="AP63" s="3"/>
    </row>
    <row r="64" spans="1:42">
      <c r="A64" s="4">
        <f>-SUM(J64:AN64)</f>
        <v>0</v>
      </c>
      <c r="B64" t="s">
        <v>107</v>
      </c>
      <c r="E64" s="3"/>
      <c r="F64" s="8"/>
      <c r="G64" s="4"/>
      <c r="I64">
        <f t="shared" si="0"/>
        <v>0</v>
      </c>
      <c r="M64">
        <v>0</v>
      </c>
      <c r="AO64" s="3"/>
      <c r="AP64" s="3"/>
    </row>
    <row r="65" spans="1:42">
      <c r="A65" s="4">
        <f>-SUM(J65:AN65)</f>
        <v>0</v>
      </c>
      <c r="B65" t="s">
        <v>108</v>
      </c>
      <c r="E65" s="3"/>
      <c r="F65" s="8"/>
      <c r="G65" s="4"/>
      <c r="I65">
        <f t="shared" si="0"/>
        <v>0</v>
      </c>
      <c r="M65">
        <v>0</v>
      </c>
      <c r="AO65" s="3"/>
      <c r="AP65" s="3"/>
    </row>
    <row r="66" spans="1:42">
      <c r="A66" s="4">
        <f>-SUM(J66:AN66)</f>
        <v>0</v>
      </c>
      <c r="B66" t="s">
        <v>109</v>
      </c>
      <c r="C66" t="s">
        <v>46</v>
      </c>
      <c r="D66" s="1"/>
      <c r="E66" s="3"/>
      <c r="F66" s="5">
        <v>0</v>
      </c>
      <c r="G66" s="4"/>
      <c r="I66">
        <f t="shared" ref="I66:I129" si="1">SUM(F66+G66-E66,J66:AN66)</f>
        <v>0</v>
      </c>
      <c r="M66">
        <v>0</v>
      </c>
      <c r="AO66" s="3"/>
      <c r="AP66" s="3"/>
    </row>
    <row r="67" spans="1:42">
      <c r="A67" s="4">
        <f>-SUM(J67:AN67)</f>
        <v>0</v>
      </c>
      <c r="B67" t="s">
        <v>110</v>
      </c>
      <c r="C67" t="s">
        <v>111</v>
      </c>
      <c r="D67" s="1"/>
      <c r="E67" s="3"/>
      <c r="F67" s="5">
        <v>0</v>
      </c>
      <c r="G67" s="4"/>
      <c r="I67">
        <f t="shared" si="1"/>
        <v>0</v>
      </c>
      <c r="M67">
        <v>0</v>
      </c>
      <c r="AO67" s="3"/>
      <c r="AP67" s="3"/>
    </row>
    <row r="68" spans="1:42">
      <c r="A68" s="4">
        <f>-SUM(J68:AN68)</f>
        <v>0</v>
      </c>
      <c r="B68" t="s">
        <v>112</v>
      </c>
      <c r="C68" t="s">
        <v>46</v>
      </c>
      <c r="D68" s="1"/>
      <c r="E68" s="3"/>
      <c r="F68" s="5">
        <v>0</v>
      </c>
      <c r="G68" s="4"/>
      <c r="I68">
        <f t="shared" si="1"/>
        <v>0</v>
      </c>
      <c r="M68">
        <v>0</v>
      </c>
      <c r="AO68" s="3"/>
      <c r="AP68" s="3"/>
    </row>
    <row r="69" spans="1:42">
      <c r="A69" s="4">
        <f>-SUM(J69:AN69)</f>
        <v>0</v>
      </c>
      <c r="B69" t="s">
        <v>113</v>
      </c>
      <c r="C69" t="s">
        <v>46</v>
      </c>
      <c r="D69" s="1"/>
      <c r="E69" s="3"/>
      <c r="F69" s="5">
        <v>0</v>
      </c>
      <c r="G69" s="4"/>
      <c r="I69">
        <f t="shared" si="1"/>
        <v>0</v>
      </c>
      <c r="M69">
        <v>0</v>
      </c>
      <c r="AO69" s="3"/>
      <c r="AP69" s="3"/>
    </row>
    <row r="70" spans="1:42">
      <c r="A70" s="4">
        <f>-SUM(J70:AN70)</f>
        <v>0</v>
      </c>
      <c r="B70" t="s">
        <v>114</v>
      </c>
      <c r="C70" t="s">
        <v>43</v>
      </c>
      <c r="D70" s="1">
        <v>46600</v>
      </c>
      <c r="E70" s="3"/>
      <c r="F70" s="5">
        <v>9</v>
      </c>
      <c r="G70" s="4"/>
      <c r="I70">
        <f t="shared" si="1"/>
        <v>9</v>
      </c>
      <c r="M70">
        <v>0</v>
      </c>
      <c r="AO70" s="3"/>
      <c r="AP70" s="3"/>
    </row>
    <row r="71" spans="1:42">
      <c r="A71" s="4">
        <f>-SUM(J71:AN71)</f>
        <v>0</v>
      </c>
      <c r="B71" t="s">
        <v>115</v>
      </c>
      <c r="C71" t="s">
        <v>43</v>
      </c>
      <c r="D71" s="1"/>
      <c r="E71" s="3"/>
      <c r="F71" s="5">
        <v>0</v>
      </c>
      <c r="G71" s="4"/>
      <c r="I71">
        <f t="shared" si="1"/>
        <v>0</v>
      </c>
      <c r="M71">
        <v>0</v>
      </c>
      <c r="AO71" s="3"/>
      <c r="AP71" s="3"/>
    </row>
    <row r="72" spans="1:42">
      <c r="A72" s="4">
        <f>-SUM(J72:AN72)</f>
        <v>0</v>
      </c>
      <c r="B72" t="s">
        <v>116</v>
      </c>
      <c r="C72" t="s">
        <v>46</v>
      </c>
      <c r="D72" s="1">
        <v>47058</v>
      </c>
      <c r="E72" s="3"/>
      <c r="F72" s="5">
        <v>1</v>
      </c>
      <c r="G72" s="4"/>
      <c r="I72">
        <f t="shared" si="1"/>
        <v>1</v>
      </c>
      <c r="M72">
        <v>0</v>
      </c>
      <c r="AO72" s="3"/>
      <c r="AP72" s="3"/>
    </row>
    <row r="73" spans="1:42">
      <c r="A73" s="4">
        <f>-SUM(J73:AN73)</f>
        <v>0</v>
      </c>
      <c r="B73" t="s">
        <v>117</v>
      </c>
      <c r="C73" t="s">
        <v>46</v>
      </c>
      <c r="D73" s="1"/>
      <c r="E73" s="3"/>
      <c r="F73" s="5">
        <v>0</v>
      </c>
      <c r="G73" s="4"/>
      <c r="I73">
        <f t="shared" si="1"/>
        <v>0</v>
      </c>
      <c r="M73">
        <v>0</v>
      </c>
      <c r="AO73" s="3"/>
      <c r="AP73" s="3"/>
    </row>
    <row r="74" spans="1:42">
      <c r="A74" s="4">
        <f>-SUM(J74:AN74)</f>
        <v>0</v>
      </c>
      <c r="B74" t="s">
        <v>118</v>
      </c>
      <c r="C74" t="s">
        <v>43</v>
      </c>
      <c r="D74" s="1">
        <v>47058</v>
      </c>
      <c r="E74" s="3"/>
      <c r="F74" s="5">
        <v>5</v>
      </c>
      <c r="G74" s="4"/>
      <c r="I74">
        <f t="shared" si="1"/>
        <v>5</v>
      </c>
      <c r="M74">
        <v>0</v>
      </c>
      <c r="AO74" s="3"/>
      <c r="AP74" s="3"/>
    </row>
    <row r="75" spans="1:42">
      <c r="A75" s="4">
        <f>-SUM(J75:AN75)</f>
        <v>0</v>
      </c>
      <c r="B75" t="s">
        <v>119</v>
      </c>
      <c r="E75" s="3"/>
      <c r="F75" s="8"/>
      <c r="G75" s="4"/>
      <c r="I75">
        <f t="shared" si="1"/>
        <v>0</v>
      </c>
      <c r="M75">
        <v>0</v>
      </c>
      <c r="AO75" s="3"/>
      <c r="AP75" s="3"/>
    </row>
    <row r="76" spans="1:42">
      <c r="A76" s="4">
        <f>-SUM(J76:AN76)</f>
        <v>0</v>
      </c>
      <c r="B76" t="s">
        <v>120</v>
      </c>
      <c r="C76" t="s">
        <v>121</v>
      </c>
      <c r="D76" s="1"/>
      <c r="E76" s="3"/>
      <c r="F76" s="5">
        <v>40</v>
      </c>
      <c r="G76" s="4"/>
      <c r="I76">
        <f t="shared" si="1"/>
        <v>40</v>
      </c>
      <c r="M76">
        <v>0</v>
      </c>
      <c r="AO76" s="3"/>
      <c r="AP76" s="3"/>
    </row>
    <row r="77" spans="1:42">
      <c r="A77" s="4">
        <f>-SUM(J77:AN77)</f>
        <v>0</v>
      </c>
      <c r="B77" t="s">
        <v>122</v>
      </c>
      <c r="C77" t="s">
        <v>121</v>
      </c>
      <c r="D77" s="1"/>
      <c r="E77" s="3"/>
      <c r="F77" s="5">
        <v>100</v>
      </c>
      <c r="G77" s="4"/>
      <c r="I77">
        <f t="shared" si="1"/>
        <v>100</v>
      </c>
      <c r="M77">
        <v>0</v>
      </c>
      <c r="AO77" s="3"/>
      <c r="AP77" s="3"/>
    </row>
    <row r="78" spans="1:42">
      <c r="A78" s="4">
        <f>-SUM(J78:AN78)</f>
        <v>0</v>
      </c>
      <c r="B78" t="s">
        <v>123</v>
      </c>
      <c r="C78" t="s">
        <v>43</v>
      </c>
      <c r="D78"/>
      <c r="E78" s="3"/>
      <c r="F78" s="5">
        <v>163</v>
      </c>
      <c r="G78" s="4"/>
      <c r="I78">
        <f t="shared" si="1"/>
        <v>163</v>
      </c>
      <c r="M78">
        <v>0</v>
      </c>
      <c r="AO78" s="3"/>
      <c r="AP78" s="3"/>
    </row>
    <row r="79" spans="1:42">
      <c r="A79" s="4">
        <f>-SUM(J79:AN79)</f>
        <v>0</v>
      </c>
      <c r="B79" t="s">
        <v>124</v>
      </c>
      <c r="E79" s="3"/>
      <c r="F79" s="8"/>
      <c r="G79" s="4"/>
      <c r="I79">
        <f t="shared" si="1"/>
        <v>0</v>
      </c>
      <c r="M79">
        <v>0</v>
      </c>
      <c r="AO79" s="3"/>
      <c r="AP79" s="3"/>
    </row>
    <row r="80" spans="1:42">
      <c r="A80" s="4">
        <f>-SUM(J80:AN80)</f>
        <v>0</v>
      </c>
      <c r="B80" t="s">
        <v>125</v>
      </c>
      <c r="C80" t="s">
        <v>43</v>
      </c>
      <c r="D80" s="1" t="s">
        <v>126</v>
      </c>
      <c r="E80" s="3"/>
      <c r="F80" s="5">
        <v>1605</v>
      </c>
      <c r="G80" s="4"/>
      <c r="I80">
        <f t="shared" si="1"/>
        <v>1605</v>
      </c>
      <c r="M80">
        <v>0</v>
      </c>
      <c r="AO80" s="3"/>
      <c r="AP80" s="3"/>
    </row>
    <row r="81" spans="1:42">
      <c r="A81" s="4">
        <f>-SUM(J81:AN81)</f>
        <v>0</v>
      </c>
      <c r="B81" t="s">
        <v>127</v>
      </c>
      <c r="C81" t="s">
        <v>43</v>
      </c>
      <c r="D81" s="1"/>
      <c r="E81" s="3"/>
      <c r="F81" s="5">
        <v>652</v>
      </c>
      <c r="G81" s="4"/>
      <c r="I81">
        <f t="shared" si="1"/>
        <v>652</v>
      </c>
      <c r="M81">
        <v>0</v>
      </c>
      <c r="AO81" s="3"/>
      <c r="AP81" s="3"/>
    </row>
    <row r="82" spans="1:42">
      <c r="A82" s="4">
        <f>-SUM(J82:AN82)</f>
        <v>0</v>
      </c>
      <c r="B82" t="s">
        <v>128</v>
      </c>
      <c r="E82" s="3"/>
      <c r="F82" s="8"/>
      <c r="G82" s="4"/>
      <c r="I82">
        <f t="shared" si="1"/>
        <v>0</v>
      </c>
      <c r="M82">
        <v>0</v>
      </c>
      <c r="AO82" s="3"/>
      <c r="AP82" s="3"/>
    </row>
    <row r="83" spans="1:42">
      <c r="A83" s="4">
        <f>-SUM(J83:AN83)</f>
        <v>0</v>
      </c>
      <c r="B83" t="s">
        <v>129</v>
      </c>
      <c r="E83" s="3"/>
      <c r="F83" s="8"/>
      <c r="G83" s="4"/>
      <c r="I83">
        <f t="shared" si="1"/>
        <v>0</v>
      </c>
      <c r="M83">
        <v>0</v>
      </c>
      <c r="AO83" s="3"/>
      <c r="AP83" s="3"/>
    </row>
    <row r="84" spans="1:42">
      <c r="A84" s="4">
        <f>-SUM(J84:AN84)</f>
        <v>0</v>
      </c>
      <c r="B84" t="s">
        <v>130</v>
      </c>
      <c r="E84" s="3"/>
      <c r="F84" s="8"/>
      <c r="G84" s="4"/>
      <c r="I84">
        <f t="shared" si="1"/>
        <v>0</v>
      </c>
      <c r="M84">
        <v>0</v>
      </c>
      <c r="AO84" s="3"/>
      <c r="AP84" s="3"/>
    </row>
    <row r="85" spans="1:42">
      <c r="A85" s="4">
        <f>-SUM(J85:AN85)</f>
        <v>0</v>
      </c>
      <c r="B85" t="s">
        <v>131</v>
      </c>
      <c r="E85" s="3"/>
      <c r="F85" s="8"/>
      <c r="G85" s="4"/>
      <c r="I85">
        <f t="shared" si="1"/>
        <v>0</v>
      </c>
      <c r="M85">
        <v>0</v>
      </c>
      <c r="AO85" s="3"/>
      <c r="AP85" s="3"/>
    </row>
    <row r="86" spans="1:42">
      <c r="A86" s="4">
        <f>-SUM(J86:AN86)</f>
        <v>0</v>
      </c>
      <c r="B86" t="s">
        <v>132</v>
      </c>
      <c r="E86" s="3"/>
      <c r="F86" s="8"/>
      <c r="G86" s="4"/>
      <c r="I86">
        <f t="shared" si="1"/>
        <v>0</v>
      </c>
      <c r="M86">
        <v>0</v>
      </c>
      <c r="AO86" s="3"/>
      <c r="AP86" s="3"/>
    </row>
    <row r="87" spans="1:42">
      <c r="A87" s="4">
        <f>-SUM(J87:AN87)</f>
        <v>0</v>
      </c>
      <c r="B87" t="s">
        <v>133</v>
      </c>
      <c r="E87" s="3"/>
      <c r="F87" s="8"/>
      <c r="G87" s="4"/>
      <c r="I87">
        <f t="shared" si="1"/>
        <v>0</v>
      </c>
      <c r="M87">
        <v>0</v>
      </c>
      <c r="AO87" s="3"/>
      <c r="AP87" s="3"/>
    </row>
    <row r="88" spans="1:42">
      <c r="A88" s="4">
        <f>-SUM(J88:AN88)</f>
        <v>0</v>
      </c>
      <c r="B88" t="s">
        <v>134</v>
      </c>
      <c r="E88" s="3"/>
      <c r="F88" s="8"/>
      <c r="G88" s="4"/>
      <c r="I88">
        <f t="shared" si="1"/>
        <v>0</v>
      </c>
      <c r="M88">
        <v>0</v>
      </c>
      <c r="AO88" s="3"/>
      <c r="AP88" s="3"/>
    </row>
    <row r="89" spans="1:42">
      <c r="A89" s="4">
        <f>-SUM(J89:AN89)</f>
        <v>0</v>
      </c>
      <c r="B89" t="s">
        <v>135</v>
      </c>
      <c r="E89" s="3"/>
      <c r="F89" s="8"/>
      <c r="G89" s="4"/>
      <c r="I89">
        <f t="shared" si="1"/>
        <v>0</v>
      </c>
      <c r="M89">
        <v>0</v>
      </c>
      <c r="AO89" s="3"/>
      <c r="AP89" s="3"/>
    </row>
    <row r="90" spans="1:42">
      <c r="A90" s="4">
        <f>-SUM(J90:AN90)</f>
        <v>0</v>
      </c>
      <c r="B90" t="s">
        <v>136</v>
      </c>
      <c r="E90" s="3"/>
      <c r="F90" s="8"/>
      <c r="G90" s="4"/>
      <c r="I90">
        <f t="shared" si="1"/>
        <v>0</v>
      </c>
      <c r="M90">
        <v>0</v>
      </c>
      <c r="AO90" s="3"/>
      <c r="AP90" s="3"/>
    </row>
    <row r="91" spans="1:42">
      <c r="A91" s="4">
        <f>-SUM(J91:AN91)</f>
        <v>0</v>
      </c>
      <c r="B91" t="s">
        <v>137</v>
      </c>
      <c r="E91" s="3"/>
      <c r="F91" s="8"/>
      <c r="G91" s="4"/>
      <c r="I91">
        <f t="shared" si="1"/>
        <v>0</v>
      </c>
      <c r="M91">
        <v>0</v>
      </c>
      <c r="AO91" s="3"/>
      <c r="AP91" s="3"/>
    </row>
    <row r="92" spans="1:42">
      <c r="A92" s="4">
        <f>-SUM(J92:AN92)</f>
        <v>0</v>
      </c>
      <c r="B92" t="s">
        <v>138</v>
      </c>
      <c r="E92" s="3"/>
      <c r="F92" s="8"/>
      <c r="G92" s="4"/>
      <c r="I92">
        <f t="shared" si="1"/>
        <v>0</v>
      </c>
      <c r="M92">
        <v>0</v>
      </c>
      <c r="AO92" s="3"/>
      <c r="AP92" s="3"/>
    </row>
    <row r="93" spans="1:42">
      <c r="A93" s="4">
        <f>-SUM(J93:AN93)</f>
        <v>0</v>
      </c>
      <c r="B93" t="s">
        <v>139</v>
      </c>
      <c r="E93" s="3"/>
      <c r="F93" s="8"/>
      <c r="G93" s="4"/>
      <c r="I93">
        <f t="shared" si="1"/>
        <v>0</v>
      </c>
      <c r="M93">
        <v>0</v>
      </c>
      <c r="AO93" s="3"/>
      <c r="AP93" s="3"/>
    </row>
    <row r="94" spans="1:42">
      <c r="A94" s="4">
        <f>-SUM(J94:AN94)</f>
        <v>0</v>
      </c>
      <c r="B94" t="s">
        <v>140</v>
      </c>
      <c r="E94" s="3"/>
      <c r="F94" s="8"/>
      <c r="G94" s="4"/>
      <c r="I94">
        <f t="shared" si="1"/>
        <v>0</v>
      </c>
      <c r="M94">
        <v>0</v>
      </c>
      <c r="AO94" s="3"/>
      <c r="AP94" s="3"/>
    </row>
    <row r="95" spans="1:42">
      <c r="A95" s="4">
        <f>-SUM(J95:AN95)</f>
        <v>0</v>
      </c>
      <c r="B95" t="s">
        <v>141</v>
      </c>
      <c r="C95" t="s">
        <v>43</v>
      </c>
      <c r="D95" s="1"/>
      <c r="E95" s="3"/>
      <c r="F95" s="5">
        <v>1600</v>
      </c>
      <c r="G95" s="4"/>
      <c r="I95">
        <f t="shared" si="1"/>
        <v>1600</v>
      </c>
      <c r="M95">
        <v>0</v>
      </c>
      <c r="AO95" s="3"/>
      <c r="AP95" s="3"/>
    </row>
    <row r="96" spans="1:42">
      <c r="A96" s="4">
        <f>-SUM(J96:AN96)</f>
        <v>0</v>
      </c>
      <c r="B96" t="s">
        <v>142</v>
      </c>
      <c r="C96" t="s">
        <v>43</v>
      </c>
      <c r="D96" s="1"/>
      <c r="E96" s="3"/>
      <c r="F96" s="5">
        <v>0</v>
      </c>
      <c r="G96" s="4"/>
      <c r="I96">
        <f t="shared" si="1"/>
        <v>0</v>
      </c>
      <c r="M96">
        <v>0</v>
      </c>
      <c r="AO96" s="3"/>
      <c r="AP96" s="3"/>
    </row>
    <row r="97" spans="1:42">
      <c r="A97" s="4">
        <f>-SUM(J97:AN97)</f>
        <v>0</v>
      </c>
      <c r="B97" t="s">
        <v>143</v>
      </c>
      <c r="C97" t="s">
        <v>43</v>
      </c>
      <c r="D97" s="1"/>
      <c r="E97" s="3"/>
      <c r="F97" s="5">
        <v>3</v>
      </c>
      <c r="G97" s="4"/>
      <c r="I97">
        <f t="shared" si="1"/>
        <v>3</v>
      </c>
      <c r="M97">
        <v>0</v>
      </c>
      <c r="AO97" s="3"/>
      <c r="AP97" s="3"/>
    </row>
    <row r="98" spans="1:42">
      <c r="A98" s="4">
        <f>-SUM(J98:AN98)</f>
        <v>0</v>
      </c>
      <c r="B98" t="s">
        <v>144</v>
      </c>
      <c r="C98" t="s">
        <v>43</v>
      </c>
      <c r="D98" s="1"/>
      <c r="E98" s="3"/>
      <c r="F98" s="5">
        <v>0</v>
      </c>
      <c r="G98" s="4"/>
      <c r="I98">
        <f t="shared" si="1"/>
        <v>0</v>
      </c>
      <c r="M98">
        <v>0</v>
      </c>
      <c r="AO98" s="3"/>
      <c r="AP98" s="3"/>
    </row>
    <row r="99" spans="1:42">
      <c r="A99" s="4">
        <f>-SUM(J99:AN99)</f>
        <v>0</v>
      </c>
      <c r="B99" t="s">
        <v>145</v>
      </c>
      <c r="C99" t="s">
        <v>43</v>
      </c>
      <c r="D99" s="1"/>
      <c r="E99" s="3"/>
      <c r="F99" s="5">
        <v>235</v>
      </c>
      <c r="G99" s="4"/>
      <c r="I99">
        <f t="shared" si="1"/>
        <v>235</v>
      </c>
      <c r="M99">
        <v>0</v>
      </c>
      <c r="AO99" s="3"/>
      <c r="AP99" s="3"/>
    </row>
    <row r="100" spans="1:42">
      <c r="A100" s="4">
        <f>-SUM(J100:AN100)</f>
        <v>0</v>
      </c>
      <c r="B100" t="s">
        <v>146</v>
      </c>
      <c r="C100" t="s">
        <v>43</v>
      </c>
      <c r="D100" s="1"/>
      <c r="E100" s="3"/>
      <c r="F100" s="5">
        <v>55</v>
      </c>
      <c r="G100" s="4"/>
      <c r="I100">
        <f t="shared" si="1"/>
        <v>55</v>
      </c>
      <c r="M100">
        <v>0</v>
      </c>
      <c r="AO100" s="3"/>
      <c r="AP100" s="3"/>
    </row>
    <row r="101" spans="1:42">
      <c r="A101" s="4">
        <f>-SUM(J101:AN101)</f>
        <v>0</v>
      </c>
      <c r="B101" t="s">
        <v>147</v>
      </c>
      <c r="C101" t="s">
        <v>43</v>
      </c>
      <c r="D101" s="1"/>
      <c r="E101" s="3"/>
      <c r="F101" s="5">
        <v>0</v>
      </c>
      <c r="G101" s="4"/>
      <c r="I101">
        <f t="shared" si="1"/>
        <v>0</v>
      </c>
      <c r="M101">
        <v>0</v>
      </c>
      <c r="AO101" s="3"/>
      <c r="AP101" s="3"/>
    </row>
    <row r="102" spans="1:42">
      <c r="A102" s="4">
        <f>-SUM(J102:AN102)</f>
        <v>0</v>
      </c>
      <c r="B102" t="s">
        <v>148</v>
      </c>
      <c r="C102" t="s">
        <v>43</v>
      </c>
      <c r="D102" s="1"/>
      <c r="E102" s="3"/>
      <c r="F102" s="5">
        <v>50</v>
      </c>
      <c r="G102" s="4"/>
      <c r="I102">
        <f t="shared" si="1"/>
        <v>50</v>
      </c>
      <c r="M102">
        <v>0</v>
      </c>
      <c r="AO102" s="3"/>
      <c r="AP102" s="3"/>
    </row>
    <row r="103" spans="1:42">
      <c r="A103" s="4">
        <f>-SUM(J103:AN103)</f>
        <v>0</v>
      </c>
      <c r="B103" t="s">
        <v>149</v>
      </c>
      <c r="E103" s="3"/>
      <c r="F103" s="8"/>
      <c r="G103" s="4"/>
      <c r="I103">
        <f t="shared" si="1"/>
        <v>0</v>
      </c>
      <c r="M103">
        <v>0</v>
      </c>
      <c r="AO103" s="3"/>
      <c r="AP103" s="3"/>
    </row>
    <row r="104" spans="1:42">
      <c r="A104" s="4">
        <f>-SUM(J104:AN104)</f>
        <v>0</v>
      </c>
      <c r="B104" t="s">
        <v>150</v>
      </c>
      <c r="E104" s="3"/>
      <c r="F104" s="8"/>
      <c r="G104" s="4"/>
      <c r="I104">
        <f t="shared" si="1"/>
        <v>0</v>
      </c>
      <c r="M104">
        <v>0</v>
      </c>
      <c r="AO104" s="3"/>
      <c r="AP104" s="3"/>
    </row>
    <row r="105" spans="1:42">
      <c r="A105" s="4">
        <f>-SUM(J105:AN105)</f>
        <v>0</v>
      </c>
      <c r="B105" t="s">
        <v>151</v>
      </c>
      <c r="C105" t="s">
        <v>43</v>
      </c>
      <c r="D105" s="1"/>
      <c r="E105" s="3"/>
      <c r="F105" s="5">
        <v>1</v>
      </c>
      <c r="G105" s="4"/>
      <c r="I105">
        <f t="shared" si="1"/>
        <v>1</v>
      </c>
      <c r="M105">
        <v>0</v>
      </c>
      <c r="AO105" s="3"/>
      <c r="AP105" s="3"/>
    </row>
    <row r="106" spans="1:42">
      <c r="A106" s="4">
        <f>-SUM(J106:AN106)</f>
        <v>0</v>
      </c>
      <c r="B106" t="s">
        <v>152</v>
      </c>
      <c r="C106" t="s">
        <v>54</v>
      </c>
      <c r="D106" s="1"/>
      <c r="E106" s="3"/>
      <c r="F106" s="5">
        <v>1600</v>
      </c>
      <c r="G106" s="4"/>
      <c r="I106">
        <f t="shared" si="1"/>
        <v>1600</v>
      </c>
      <c r="M106">
        <v>0</v>
      </c>
      <c r="AO106" s="3"/>
      <c r="AP106" s="3"/>
    </row>
    <row r="107" spans="1:42">
      <c r="A107" s="4">
        <f>-SUM(J107:AN107)</f>
        <v>0</v>
      </c>
      <c r="B107" t="s">
        <v>153</v>
      </c>
      <c r="C107" t="s">
        <v>43</v>
      </c>
      <c r="D107" s="1"/>
      <c r="E107" s="3"/>
      <c r="F107" s="5">
        <v>0</v>
      </c>
      <c r="G107" s="4"/>
      <c r="I107">
        <f t="shared" si="1"/>
        <v>0</v>
      </c>
      <c r="M107">
        <v>0</v>
      </c>
      <c r="AO107" s="3"/>
      <c r="AP107" s="3"/>
    </row>
    <row r="108" spans="1:42">
      <c r="A108" s="4">
        <f>-SUM(J108:AN108)</f>
        <v>0</v>
      </c>
      <c r="B108" t="s">
        <v>154</v>
      </c>
      <c r="C108" t="s">
        <v>43</v>
      </c>
      <c r="D108" s="1"/>
      <c r="E108" s="3"/>
      <c r="F108" s="5">
        <v>0</v>
      </c>
      <c r="G108" s="4"/>
      <c r="I108">
        <f t="shared" si="1"/>
        <v>0</v>
      </c>
      <c r="M108">
        <v>0</v>
      </c>
      <c r="AO108" s="3"/>
      <c r="AP108" s="3"/>
    </row>
    <row r="109" spans="1:42">
      <c r="A109" s="4">
        <f>-SUM(J109:AN109)</f>
        <v>0</v>
      </c>
      <c r="B109" t="s">
        <v>155</v>
      </c>
      <c r="C109" t="s">
        <v>43</v>
      </c>
      <c r="D109" s="1"/>
      <c r="E109" s="3"/>
      <c r="F109" s="5">
        <v>0</v>
      </c>
      <c r="G109" s="4"/>
      <c r="I109">
        <f t="shared" si="1"/>
        <v>0</v>
      </c>
      <c r="M109">
        <v>0</v>
      </c>
      <c r="AO109" s="3"/>
      <c r="AP109" s="3"/>
    </row>
    <row r="110" spans="1:42">
      <c r="A110" s="4">
        <f>-SUM(J110:AN110)</f>
        <v>0</v>
      </c>
      <c r="B110" t="s">
        <v>156</v>
      </c>
      <c r="C110" t="s">
        <v>54</v>
      </c>
      <c r="D110" s="1"/>
      <c r="E110" s="3"/>
      <c r="F110" s="8">
        <v>2289</v>
      </c>
      <c r="G110" s="4"/>
      <c r="I110">
        <f t="shared" si="1"/>
        <v>2289</v>
      </c>
      <c r="M110">
        <v>0</v>
      </c>
      <c r="AO110" s="3"/>
      <c r="AP110" s="3"/>
    </row>
    <row r="111" spans="1:42">
      <c r="A111" s="4">
        <f>-SUM(J111:AN111)</f>
        <v>0</v>
      </c>
      <c r="B111" t="s">
        <v>157</v>
      </c>
      <c r="C111" t="s">
        <v>54</v>
      </c>
      <c r="D111" s="1"/>
      <c r="E111" s="3"/>
      <c r="F111" s="8">
        <v>5100</v>
      </c>
      <c r="G111" s="4"/>
      <c r="I111">
        <f t="shared" si="1"/>
        <v>5100</v>
      </c>
      <c r="M111">
        <v>0</v>
      </c>
      <c r="AO111" s="3"/>
      <c r="AP111" s="3"/>
    </row>
    <row r="112" spans="1:42">
      <c r="A112" s="4">
        <f>-SUM(J112:AN112)</f>
        <v>0</v>
      </c>
      <c r="B112" t="s">
        <v>158</v>
      </c>
      <c r="C112" t="s">
        <v>46</v>
      </c>
      <c r="D112" s="1"/>
      <c r="E112" s="3"/>
      <c r="F112" s="5">
        <v>0</v>
      </c>
      <c r="G112" s="4"/>
      <c r="I112">
        <f t="shared" si="1"/>
        <v>0</v>
      </c>
      <c r="M112">
        <v>0</v>
      </c>
      <c r="AO112" s="3"/>
      <c r="AP112" s="3"/>
    </row>
    <row r="113" spans="1:42">
      <c r="A113" s="4">
        <f>-SUM(J113:AN113)</f>
        <v>0</v>
      </c>
      <c r="B113" t="s">
        <v>159</v>
      </c>
      <c r="C113" t="s">
        <v>43</v>
      </c>
      <c r="D113"/>
      <c r="E113" s="3"/>
      <c r="F113" s="5">
        <v>1</v>
      </c>
      <c r="G113" s="4"/>
      <c r="I113">
        <f t="shared" si="1"/>
        <v>1</v>
      </c>
      <c r="M113">
        <v>0</v>
      </c>
      <c r="AO113" s="3"/>
      <c r="AP113" s="3"/>
    </row>
    <row r="114" spans="1:42">
      <c r="A114" s="4">
        <f>-SUM(J114:AN114)</f>
        <v>0</v>
      </c>
      <c r="B114" t="s">
        <v>160</v>
      </c>
      <c r="C114" t="s">
        <v>43</v>
      </c>
      <c r="D114"/>
      <c r="E114" s="3"/>
      <c r="F114" s="5">
        <v>1</v>
      </c>
      <c r="G114" s="4"/>
      <c r="I114">
        <f t="shared" si="1"/>
        <v>1</v>
      </c>
      <c r="M114">
        <v>0</v>
      </c>
      <c r="AO114" s="3"/>
      <c r="AP114" s="3"/>
    </row>
    <row r="115" spans="1:42">
      <c r="A115" s="4">
        <f>-SUM(J115:AN115)</f>
        <v>0</v>
      </c>
      <c r="B115" t="s">
        <v>161</v>
      </c>
      <c r="C115" t="s">
        <v>43</v>
      </c>
      <c r="D115"/>
      <c r="E115" s="3"/>
      <c r="F115" s="5">
        <v>1</v>
      </c>
      <c r="G115" s="4"/>
      <c r="I115">
        <f t="shared" si="1"/>
        <v>1</v>
      </c>
      <c r="M115">
        <v>0</v>
      </c>
      <c r="AO115" s="3"/>
      <c r="AP115" s="3"/>
    </row>
    <row r="116" spans="1:42">
      <c r="A116" s="4">
        <f>-SUM(J116:AN116)</f>
        <v>0</v>
      </c>
      <c r="B116" t="s">
        <v>162</v>
      </c>
      <c r="C116" t="s">
        <v>43</v>
      </c>
      <c r="D116"/>
      <c r="E116" s="3"/>
      <c r="F116" s="5">
        <v>1</v>
      </c>
      <c r="G116" s="4"/>
      <c r="I116">
        <f t="shared" si="1"/>
        <v>1</v>
      </c>
      <c r="M116">
        <v>0</v>
      </c>
      <c r="AO116" s="3"/>
      <c r="AP116" s="3"/>
    </row>
    <row r="117" spans="1:42">
      <c r="A117" s="4">
        <f>-SUM(J117:AN117)</f>
        <v>0</v>
      </c>
      <c r="B117" t="s">
        <v>163</v>
      </c>
      <c r="C117" t="s">
        <v>43</v>
      </c>
      <c r="D117"/>
      <c r="E117" s="3"/>
      <c r="F117" s="5">
        <v>1</v>
      </c>
      <c r="G117" s="4"/>
      <c r="I117">
        <f t="shared" si="1"/>
        <v>1</v>
      </c>
      <c r="M117">
        <v>0</v>
      </c>
      <c r="AO117" s="3"/>
      <c r="AP117" s="3"/>
    </row>
    <row r="118" spans="1:42">
      <c r="A118" s="4">
        <f>-SUM(J118:AN118)</f>
        <v>0</v>
      </c>
      <c r="B118" t="s">
        <v>164</v>
      </c>
      <c r="C118" t="s">
        <v>43</v>
      </c>
      <c r="D118"/>
      <c r="E118" s="3"/>
      <c r="F118" s="5">
        <v>1</v>
      </c>
      <c r="G118" s="4"/>
      <c r="I118">
        <f t="shared" si="1"/>
        <v>1</v>
      </c>
      <c r="M118">
        <v>0</v>
      </c>
      <c r="AO118" s="3"/>
      <c r="AP118" s="3"/>
    </row>
    <row r="119" spans="1:42">
      <c r="A119" s="4">
        <f>-SUM(J119:AN119)</f>
        <v>0</v>
      </c>
      <c r="B119" t="s">
        <v>165</v>
      </c>
      <c r="C119" t="s">
        <v>43</v>
      </c>
      <c r="D119"/>
      <c r="E119" s="3"/>
      <c r="F119" s="5">
        <v>1</v>
      </c>
      <c r="G119" s="4"/>
      <c r="I119">
        <f t="shared" si="1"/>
        <v>1</v>
      </c>
      <c r="M119">
        <v>0</v>
      </c>
      <c r="AO119" s="3"/>
      <c r="AP119" s="3"/>
    </row>
    <row r="120" spans="1:42">
      <c r="A120" s="4">
        <f>-SUM(J120:AN120)</f>
        <v>0</v>
      </c>
      <c r="B120" t="s">
        <v>166</v>
      </c>
      <c r="C120" t="s">
        <v>43</v>
      </c>
      <c r="D120"/>
      <c r="E120" s="3"/>
      <c r="F120" s="5">
        <v>1</v>
      </c>
      <c r="G120" s="4"/>
      <c r="I120">
        <f t="shared" si="1"/>
        <v>1</v>
      </c>
      <c r="M120">
        <v>0</v>
      </c>
      <c r="AO120" s="3"/>
      <c r="AP120" s="3"/>
    </row>
    <row r="121" spans="1:42">
      <c r="A121" s="4">
        <f>-SUM(J121:AN121)</f>
        <v>0</v>
      </c>
      <c r="B121" t="s">
        <v>167</v>
      </c>
      <c r="C121" t="s">
        <v>43</v>
      </c>
      <c r="D121"/>
      <c r="E121" s="3"/>
      <c r="F121" s="5">
        <v>1</v>
      </c>
      <c r="G121" s="4"/>
      <c r="I121">
        <f t="shared" si="1"/>
        <v>1</v>
      </c>
      <c r="M121">
        <v>0</v>
      </c>
      <c r="AO121" s="3"/>
      <c r="AP121" s="3"/>
    </row>
    <row r="122" spans="1:42">
      <c r="A122" s="4">
        <f>-SUM(J122:AN122)</f>
        <v>0</v>
      </c>
      <c r="B122" t="s">
        <v>168</v>
      </c>
      <c r="C122" t="s">
        <v>43</v>
      </c>
      <c r="D122"/>
      <c r="E122" s="3"/>
      <c r="F122" s="5">
        <v>1</v>
      </c>
      <c r="G122" s="4"/>
      <c r="I122">
        <f t="shared" si="1"/>
        <v>1</v>
      </c>
      <c r="M122">
        <v>0</v>
      </c>
      <c r="AO122" s="3"/>
      <c r="AP122" s="3"/>
    </row>
    <row r="123" spans="1:42">
      <c r="A123" s="4">
        <f>-SUM(J123:AN123)</f>
        <v>0</v>
      </c>
      <c r="B123" t="s">
        <v>169</v>
      </c>
      <c r="C123" t="s">
        <v>43</v>
      </c>
      <c r="D123"/>
      <c r="E123" s="3"/>
      <c r="F123" s="5">
        <v>1</v>
      </c>
      <c r="G123" s="4"/>
      <c r="I123">
        <f t="shared" si="1"/>
        <v>1</v>
      </c>
      <c r="M123">
        <v>0</v>
      </c>
      <c r="AO123" s="3"/>
      <c r="AP123" s="3"/>
    </row>
    <row r="124" spans="1:42">
      <c r="A124" s="4">
        <f>-SUM(J124:AN124)</f>
        <v>0</v>
      </c>
      <c r="B124" t="s">
        <v>170</v>
      </c>
      <c r="C124" t="s">
        <v>46</v>
      </c>
      <c r="D124"/>
      <c r="E124" s="3"/>
      <c r="F124" s="5">
        <v>0</v>
      </c>
      <c r="G124" s="4"/>
      <c r="I124">
        <f t="shared" si="1"/>
        <v>0</v>
      </c>
      <c r="M124">
        <v>0</v>
      </c>
      <c r="AO124" s="3"/>
      <c r="AP124" s="3"/>
    </row>
    <row r="125" spans="1:42">
      <c r="A125" s="4">
        <f>-SUM(J125:AN125)</f>
        <v>0</v>
      </c>
      <c r="B125" t="s">
        <v>171</v>
      </c>
      <c r="C125" t="s">
        <v>43</v>
      </c>
      <c r="D125"/>
      <c r="E125" s="3"/>
      <c r="F125" s="5">
        <v>1</v>
      </c>
      <c r="G125" s="4"/>
      <c r="I125">
        <f t="shared" si="1"/>
        <v>1</v>
      </c>
      <c r="M125">
        <v>0</v>
      </c>
      <c r="AO125" s="3"/>
      <c r="AP125" s="3"/>
    </row>
    <row r="126" spans="1:42">
      <c r="A126" s="4">
        <f>-SUM(J126:AN126)</f>
        <v>0</v>
      </c>
      <c r="B126" t="s">
        <v>172</v>
      </c>
      <c r="C126" t="s">
        <v>46</v>
      </c>
      <c r="D126"/>
      <c r="E126" s="3"/>
      <c r="F126" s="5">
        <v>0</v>
      </c>
      <c r="G126" s="4"/>
      <c r="I126">
        <f t="shared" si="1"/>
        <v>0</v>
      </c>
      <c r="M126">
        <v>0</v>
      </c>
      <c r="AO126" s="3"/>
      <c r="AP126" s="3"/>
    </row>
    <row r="127" spans="1:42">
      <c r="A127" s="4">
        <f>-SUM(J127:AN127)</f>
        <v>0</v>
      </c>
      <c r="B127" t="s">
        <v>173</v>
      </c>
      <c r="C127" t="s">
        <v>43</v>
      </c>
      <c r="D127"/>
      <c r="E127" s="3"/>
      <c r="F127" s="5">
        <v>300</v>
      </c>
      <c r="G127" s="4"/>
      <c r="I127">
        <f t="shared" si="1"/>
        <v>300</v>
      </c>
      <c r="M127">
        <v>0</v>
      </c>
      <c r="AO127" s="3"/>
      <c r="AP127" s="3"/>
    </row>
    <row r="128" spans="1:42">
      <c r="A128" s="4">
        <f>-SUM(J128:AN128)</f>
        <v>0</v>
      </c>
      <c r="B128" t="s">
        <v>174</v>
      </c>
      <c r="C128" t="s">
        <v>43</v>
      </c>
      <c r="D128"/>
      <c r="E128" s="3"/>
      <c r="F128" s="5">
        <v>300</v>
      </c>
      <c r="G128" s="4"/>
      <c r="I128">
        <f t="shared" si="1"/>
        <v>300</v>
      </c>
      <c r="M128">
        <v>0</v>
      </c>
      <c r="AO128" s="3"/>
      <c r="AP128" s="3"/>
    </row>
    <row r="129" spans="1:42">
      <c r="A129" s="4">
        <f>-SUM(J129:AN129)</f>
        <v>0</v>
      </c>
      <c r="B129" t="s">
        <v>175</v>
      </c>
      <c r="C129" t="s">
        <v>43</v>
      </c>
      <c r="D129" s="1"/>
      <c r="E129" s="3"/>
      <c r="F129" s="5">
        <v>200</v>
      </c>
      <c r="G129" s="4"/>
      <c r="I129">
        <f t="shared" si="1"/>
        <v>200</v>
      </c>
      <c r="M129">
        <v>0</v>
      </c>
      <c r="AO129" s="3"/>
      <c r="AP129" s="3"/>
    </row>
    <row r="130" spans="1:42">
      <c r="A130" s="4">
        <f>-SUM(J130:AN130)</f>
        <v>0</v>
      </c>
      <c r="B130" t="s">
        <v>176</v>
      </c>
      <c r="C130" t="s">
        <v>43</v>
      </c>
      <c r="D130" s="1"/>
      <c r="E130" s="3"/>
      <c r="F130" s="5">
        <v>2300</v>
      </c>
      <c r="G130" s="4"/>
      <c r="I130">
        <f t="shared" ref="I130:I193" si="2">SUM(F130+G130-E130,J130:AN130)</f>
        <v>2300</v>
      </c>
      <c r="M130">
        <v>0</v>
      </c>
      <c r="AO130" s="3"/>
      <c r="AP130" s="3"/>
    </row>
    <row r="131" spans="1:42">
      <c r="A131" s="4">
        <f>-SUM(J131:AN131)</f>
        <v>0</v>
      </c>
      <c r="B131" t="s">
        <v>177</v>
      </c>
      <c r="C131" t="s">
        <v>43</v>
      </c>
      <c r="D131" s="1"/>
      <c r="E131" s="3"/>
      <c r="F131" s="5">
        <v>22</v>
      </c>
      <c r="G131" s="4"/>
      <c r="I131">
        <f t="shared" si="2"/>
        <v>22</v>
      </c>
      <c r="M131">
        <v>0</v>
      </c>
      <c r="AO131" s="3"/>
      <c r="AP131" s="3"/>
    </row>
    <row r="132" spans="1:42">
      <c r="A132" s="4">
        <f>-SUM(J132:AN132)</f>
        <v>0</v>
      </c>
      <c r="B132" t="s">
        <v>178</v>
      </c>
      <c r="C132" t="s">
        <v>43</v>
      </c>
      <c r="D132" s="1"/>
      <c r="E132" s="3"/>
      <c r="F132" s="5">
        <v>30</v>
      </c>
      <c r="G132" s="4"/>
      <c r="I132">
        <f t="shared" si="2"/>
        <v>30</v>
      </c>
      <c r="M132">
        <v>0</v>
      </c>
      <c r="AO132" s="3"/>
      <c r="AP132" s="3"/>
    </row>
    <row r="133" spans="1:42">
      <c r="A133" s="4">
        <f>-SUM(J133:AN133)</f>
        <v>0</v>
      </c>
      <c r="B133" t="s">
        <v>179</v>
      </c>
      <c r="C133" t="s">
        <v>54</v>
      </c>
      <c r="D133"/>
      <c r="E133" s="3"/>
      <c r="F133" s="5">
        <v>4</v>
      </c>
      <c r="G133" s="4"/>
      <c r="I133">
        <f t="shared" si="2"/>
        <v>4</v>
      </c>
      <c r="M133">
        <v>0</v>
      </c>
      <c r="AO133" s="3"/>
      <c r="AP133" s="3"/>
    </row>
    <row r="134" spans="1:42">
      <c r="A134" s="4">
        <f>-SUM(J134:AN134)</f>
        <v>0</v>
      </c>
      <c r="B134" t="s">
        <v>180</v>
      </c>
      <c r="C134" t="s">
        <v>54</v>
      </c>
      <c r="D134"/>
      <c r="E134" s="3"/>
      <c r="F134" s="5">
        <v>3</v>
      </c>
      <c r="G134" s="4"/>
      <c r="I134">
        <f t="shared" si="2"/>
        <v>3</v>
      </c>
      <c r="M134">
        <v>0</v>
      </c>
      <c r="AO134" s="3"/>
      <c r="AP134" s="3"/>
    </row>
    <row r="135" spans="1:42">
      <c r="A135" s="4">
        <f>-SUM(J135:AN135)</f>
        <v>0</v>
      </c>
      <c r="B135" t="s">
        <v>181</v>
      </c>
      <c r="C135" t="s">
        <v>54</v>
      </c>
      <c r="D135"/>
      <c r="E135" s="3"/>
      <c r="F135" s="5">
        <v>4</v>
      </c>
      <c r="G135" s="4"/>
      <c r="I135">
        <f t="shared" si="2"/>
        <v>4</v>
      </c>
      <c r="M135">
        <v>0</v>
      </c>
      <c r="AO135" s="3"/>
      <c r="AP135" s="3"/>
    </row>
    <row r="136" spans="1:42">
      <c r="A136" s="4">
        <f>-SUM(J136:AN136)</f>
        <v>0</v>
      </c>
      <c r="B136" t="s">
        <v>182</v>
      </c>
      <c r="C136" t="s">
        <v>54</v>
      </c>
      <c r="D136"/>
      <c r="E136" s="3"/>
      <c r="F136" s="5">
        <v>4</v>
      </c>
      <c r="G136" s="4"/>
      <c r="I136">
        <f t="shared" si="2"/>
        <v>4</v>
      </c>
      <c r="M136">
        <v>0</v>
      </c>
      <c r="AO136" s="3"/>
      <c r="AP136" s="3"/>
    </row>
    <row r="137" spans="1:42">
      <c r="A137" s="4">
        <f>-SUM(J137:AN137)</f>
        <v>0</v>
      </c>
      <c r="B137" t="s">
        <v>183</v>
      </c>
      <c r="C137" t="s">
        <v>54</v>
      </c>
      <c r="D137"/>
      <c r="E137" s="3"/>
      <c r="F137" s="5">
        <v>3</v>
      </c>
      <c r="G137" s="4"/>
      <c r="I137">
        <f t="shared" si="2"/>
        <v>3</v>
      </c>
      <c r="M137">
        <v>0</v>
      </c>
      <c r="AO137" s="3"/>
      <c r="AP137" s="3"/>
    </row>
    <row r="138" spans="1:42">
      <c r="A138" s="4">
        <f>-SUM(J138:AN138)</f>
        <v>0</v>
      </c>
      <c r="B138" t="s">
        <v>184</v>
      </c>
      <c r="C138" t="s">
        <v>54</v>
      </c>
      <c r="D138"/>
      <c r="E138" s="3"/>
      <c r="F138" s="5">
        <v>4</v>
      </c>
      <c r="G138" s="4"/>
      <c r="I138">
        <f t="shared" si="2"/>
        <v>4</v>
      </c>
      <c r="M138">
        <v>0</v>
      </c>
      <c r="AO138" s="3"/>
      <c r="AP138" s="3"/>
    </row>
    <row r="139" spans="1:42">
      <c r="A139" s="4">
        <f>-SUM(J139:AN139)</f>
        <v>0</v>
      </c>
      <c r="B139" t="s">
        <v>185</v>
      </c>
      <c r="C139" t="s">
        <v>54</v>
      </c>
      <c r="D139"/>
      <c r="E139" s="3"/>
      <c r="F139" s="5">
        <v>5</v>
      </c>
      <c r="G139" s="4"/>
      <c r="I139">
        <f t="shared" si="2"/>
        <v>5</v>
      </c>
      <c r="M139">
        <v>0</v>
      </c>
      <c r="AO139" s="3"/>
      <c r="AP139" s="3"/>
    </row>
    <row r="140" spans="1:42">
      <c r="A140" s="4">
        <f>-SUM(J140:AN140)</f>
        <v>0</v>
      </c>
      <c r="B140" t="s">
        <v>186</v>
      </c>
      <c r="C140" t="s">
        <v>54</v>
      </c>
      <c r="D140"/>
      <c r="E140" s="3"/>
      <c r="F140" s="5">
        <v>11</v>
      </c>
      <c r="G140" s="4"/>
      <c r="I140">
        <f t="shared" si="2"/>
        <v>11</v>
      </c>
      <c r="M140">
        <v>0</v>
      </c>
      <c r="AO140" s="3"/>
      <c r="AP140" s="3"/>
    </row>
    <row r="141" spans="1:42">
      <c r="A141" s="4">
        <f>-SUM(J141:AN141)</f>
        <v>0</v>
      </c>
      <c r="B141" t="s">
        <v>187</v>
      </c>
      <c r="C141" t="s">
        <v>46</v>
      </c>
      <c r="D141"/>
      <c r="E141" s="3"/>
      <c r="F141" s="5">
        <v>0</v>
      </c>
      <c r="G141" s="4"/>
      <c r="I141">
        <f t="shared" si="2"/>
        <v>0</v>
      </c>
      <c r="M141">
        <v>0</v>
      </c>
      <c r="AO141" s="3"/>
      <c r="AP141" s="3"/>
    </row>
    <row r="142" spans="1:42">
      <c r="A142" s="4">
        <f>-SUM(J142:AN142)</f>
        <v>0</v>
      </c>
      <c r="B142" t="s">
        <v>188</v>
      </c>
      <c r="C142" t="s">
        <v>54</v>
      </c>
      <c r="D142"/>
      <c r="E142" s="3"/>
      <c r="F142" s="5">
        <v>6</v>
      </c>
      <c r="G142" s="4"/>
      <c r="I142">
        <f t="shared" si="2"/>
        <v>6</v>
      </c>
      <c r="M142">
        <v>0</v>
      </c>
      <c r="AO142" s="3"/>
      <c r="AP142" s="3"/>
    </row>
    <row r="143" spans="1:42">
      <c r="A143" s="4">
        <f>-SUM(J143:AN143)</f>
        <v>0</v>
      </c>
      <c r="B143" t="s">
        <v>189</v>
      </c>
      <c r="C143" t="s">
        <v>54</v>
      </c>
      <c r="D143"/>
      <c r="E143" s="3"/>
      <c r="F143" s="5">
        <v>7</v>
      </c>
      <c r="G143" s="4"/>
      <c r="I143">
        <f t="shared" si="2"/>
        <v>7</v>
      </c>
      <c r="M143">
        <v>0</v>
      </c>
      <c r="AO143" s="3"/>
      <c r="AP143" s="3"/>
    </row>
    <row r="144" spans="1:42">
      <c r="A144" s="4">
        <f>-SUM(J144:AN144)</f>
        <v>0</v>
      </c>
      <c r="B144" t="s">
        <v>190</v>
      </c>
      <c r="C144" t="s">
        <v>54</v>
      </c>
      <c r="D144"/>
      <c r="E144" s="3"/>
      <c r="F144" s="5">
        <v>5</v>
      </c>
      <c r="G144" s="4"/>
      <c r="I144">
        <f t="shared" si="2"/>
        <v>5</v>
      </c>
      <c r="M144">
        <v>0</v>
      </c>
      <c r="AO144" s="3"/>
      <c r="AP144" s="3"/>
    </row>
    <row r="145" spans="1:42">
      <c r="A145" s="4">
        <f>-SUM(J145:AN145)</f>
        <v>0</v>
      </c>
      <c r="B145" t="s">
        <v>191</v>
      </c>
      <c r="C145" t="s">
        <v>54</v>
      </c>
      <c r="D145"/>
      <c r="E145" s="3"/>
      <c r="F145" s="5">
        <v>11</v>
      </c>
      <c r="G145" s="4"/>
      <c r="I145">
        <f t="shared" si="2"/>
        <v>11</v>
      </c>
      <c r="M145">
        <v>0</v>
      </c>
      <c r="AO145" s="3"/>
      <c r="AP145" s="3"/>
    </row>
    <row r="146" spans="1:42">
      <c r="A146" s="4">
        <f>-SUM(J146:AN146)</f>
        <v>0</v>
      </c>
      <c r="B146" t="s">
        <v>192</v>
      </c>
      <c r="C146" t="s">
        <v>54</v>
      </c>
      <c r="D146"/>
      <c r="E146" s="3"/>
      <c r="F146" s="5">
        <v>4</v>
      </c>
      <c r="G146" s="4"/>
      <c r="I146">
        <f t="shared" si="2"/>
        <v>4</v>
      </c>
      <c r="M146">
        <v>0</v>
      </c>
      <c r="AO146" s="3"/>
      <c r="AP146" s="3"/>
    </row>
    <row r="147" spans="1:42">
      <c r="A147" s="4">
        <f>-SUM(J147:AN147)</f>
        <v>0</v>
      </c>
      <c r="B147" t="s">
        <v>193</v>
      </c>
      <c r="C147" t="s">
        <v>46</v>
      </c>
      <c r="D147"/>
      <c r="E147" s="3"/>
      <c r="F147" s="5">
        <v>0</v>
      </c>
      <c r="G147" s="4"/>
      <c r="I147">
        <f t="shared" si="2"/>
        <v>0</v>
      </c>
      <c r="M147">
        <v>0</v>
      </c>
      <c r="AO147" s="3"/>
      <c r="AP147" s="3"/>
    </row>
    <row r="148" spans="1:42">
      <c r="A148" s="4">
        <f>-SUM(J148:AN148)</f>
        <v>0</v>
      </c>
      <c r="B148" t="s">
        <v>194</v>
      </c>
      <c r="C148" t="s">
        <v>46</v>
      </c>
      <c r="D148"/>
      <c r="E148" s="3"/>
      <c r="F148" s="5">
        <v>0</v>
      </c>
      <c r="G148" s="4"/>
      <c r="I148">
        <f t="shared" si="2"/>
        <v>0</v>
      </c>
      <c r="M148">
        <v>0</v>
      </c>
      <c r="AO148" s="3"/>
      <c r="AP148" s="3"/>
    </row>
    <row r="149" spans="1:42">
      <c r="A149" s="4">
        <f>-SUM(J149:AN149)</f>
        <v>0</v>
      </c>
      <c r="B149" t="s">
        <v>195</v>
      </c>
      <c r="C149" t="s">
        <v>46</v>
      </c>
      <c r="D149"/>
      <c r="E149" s="3"/>
      <c r="F149" s="5">
        <v>0</v>
      </c>
      <c r="G149" s="4"/>
      <c r="I149">
        <f t="shared" si="2"/>
        <v>0</v>
      </c>
      <c r="M149">
        <v>0</v>
      </c>
      <c r="AO149" s="3"/>
      <c r="AP149" s="3"/>
    </row>
    <row r="150" spans="1:42">
      <c r="A150" s="4">
        <f>-SUM(J150:AN150)</f>
        <v>0</v>
      </c>
      <c r="B150" t="s">
        <v>196</v>
      </c>
      <c r="C150" t="s">
        <v>46</v>
      </c>
      <c r="D150"/>
      <c r="E150" s="3"/>
      <c r="F150" s="5">
        <v>0</v>
      </c>
      <c r="G150" s="4"/>
      <c r="I150">
        <f t="shared" si="2"/>
        <v>0</v>
      </c>
      <c r="M150">
        <v>0</v>
      </c>
      <c r="AO150" s="3"/>
      <c r="AP150" s="3"/>
    </row>
    <row r="151" spans="1:42">
      <c r="A151" s="4">
        <f>-SUM(J151:AN151)</f>
        <v>0</v>
      </c>
      <c r="B151" t="s">
        <v>197</v>
      </c>
      <c r="C151" t="s">
        <v>43</v>
      </c>
      <c r="D151"/>
      <c r="E151" s="3"/>
      <c r="F151" s="5">
        <v>200</v>
      </c>
      <c r="G151" s="4"/>
      <c r="I151">
        <f t="shared" si="2"/>
        <v>200</v>
      </c>
      <c r="M151">
        <v>0</v>
      </c>
      <c r="AO151" s="3"/>
      <c r="AP151" s="3"/>
    </row>
    <row r="152" spans="1:42">
      <c r="A152" s="4">
        <f>-SUM(J152:AN152)</f>
        <v>0</v>
      </c>
      <c r="B152" t="s">
        <v>198</v>
      </c>
      <c r="C152" t="s">
        <v>43</v>
      </c>
      <c r="D152"/>
      <c r="E152" s="3"/>
      <c r="F152" s="5">
        <v>1158</v>
      </c>
      <c r="G152" s="4"/>
      <c r="I152">
        <f t="shared" si="2"/>
        <v>1158</v>
      </c>
      <c r="M152">
        <v>0</v>
      </c>
      <c r="AO152" s="3"/>
      <c r="AP152" s="3"/>
    </row>
    <row r="153" spans="1:42">
      <c r="A153" s="4">
        <f>-SUM(J153:AN153)</f>
        <v>0</v>
      </c>
      <c r="B153" t="s">
        <v>199</v>
      </c>
      <c r="E153" s="3"/>
      <c r="F153" s="8"/>
      <c r="G153" s="4"/>
      <c r="I153">
        <f t="shared" si="2"/>
        <v>0</v>
      </c>
      <c r="M153">
        <v>0</v>
      </c>
      <c r="AO153" s="3"/>
      <c r="AP153" s="3"/>
    </row>
    <row r="154" spans="1:42">
      <c r="A154" s="4">
        <f>-SUM(J154:AN154)</f>
        <v>0</v>
      </c>
      <c r="B154" t="s">
        <v>200</v>
      </c>
      <c r="E154" s="3"/>
      <c r="F154" s="8"/>
      <c r="G154" s="4"/>
      <c r="I154">
        <f t="shared" si="2"/>
        <v>0</v>
      </c>
      <c r="M154">
        <v>0</v>
      </c>
      <c r="AO154" s="3"/>
      <c r="AP154" s="3"/>
    </row>
    <row r="155" spans="1:42">
      <c r="A155" s="4">
        <f>-SUM(J155:AN155)</f>
        <v>0</v>
      </c>
      <c r="B155" t="s">
        <v>201</v>
      </c>
      <c r="C155" t="s">
        <v>43</v>
      </c>
      <c r="D155"/>
      <c r="E155" s="3"/>
      <c r="F155" s="5">
        <v>9</v>
      </c>
      <c r="G155" s="4"/>
      <c r="I155">
        <f t="shared" si="2"/>
        <v>9</v>
      </c>
      <c r="M155">
        <v>0</v>
      </c>
      <c r="AO155" s="3"/>
      <c r="AP155" s="3"/>
    </row>
    <row r="156" spans="1:42">
      <c r="A156" s="4">
        <f>-SUM(J156:AN156)</f>
        <v>0</v>
      </c>
      <c r="B156" t="s">
        <v>202</v>
      </c>
      <c r="C156" t="s">
        <v>46</v>
      </c>
      <c r="D156" s="1"/>
      <c r="E156" s="3"/>
      <c r="F156" s="5">
        <v>0</v>
      </c>
      <c r="G156" s="4"/>
      <c r="I156">
        <f t="shared" si="2"/>
        <v>0</v>
      </c>
      <c r="M156">
        <v>0</v>
      </c>
      <c r="AO156" s="3"/>
      <c r="AP156" s="3"/>
    </row>
    <row r="157" spans="1:42">
      <c r="A157" s="4">
        <f>-SUM(J157:AN157)</f>
        <v>0</v>
      </c>
      <c r="B157" t="s">
        <v>203</v>
      </c>
      <c r="C157" t="s">
        <v>54</v>
      </c>
      <c r="D157" s="1"/>
      <c r="E157" s="3"/>
      <c r="F157" s="5">
        <v>4</v>
      </c>
      <c r="G157" s="4"/>
      <c r="I157">
        <f t="shared" si="2"/>
        <v>4</v>
      </c>
      <c r="M157">
        <v>0</v>
      </c>
      <c r="AO157" s="3"/>
      <c r="AP157" s="3"/>
    </row>
    <row r="158" spans="1:42">
      <c r="A158" s="4">
        <f>-SUM(J158:AN158)</f>
        <v>0</v>
      </c>
      <c r="B158" t="s">
        <v>204</v>
      </c>
      <c r="C158" t="s">
        <v>54</v>
      </c>
      <c r="D158" s="1"/>
      <c r="E158" s="3"/>
      <c r="F158" s="5">
        <v>2</v>
      </c>
      <c r="G158" s="4"/>
      <c r="I158">
        <f t="shared" si="2"/>
        <v>2</v>
      </c>
      <c r="M158">
        <v>0</v>
      </c>
      <c r="AO158" s="3"/>
      <c r="AP158" s="3"/>
    </row>
    <row r="159" spans="1:42">
      <c r="A159" s="4">
        <f>-SUM(J159:AN159)</f>
        <v>0</v>
      </c>
      <c r="B159" t="s">
        <v>205</v>
      </c>
      <c r="C159" t="s">
        <v>54</v>
      </c>
      <c r="D159" s="1"/>
      <c r="E159" s="3"/>
      <c r="F159" s="5">
        <v>6</v>
      </c>
      <c r="G159" s="4"/>
      <c r="I159">
        <f t="shared" si="2"/>
        <v>6</v>
      </c>
      <c r="M159">
        <v>0</v>
      </c>
      <c r="AO159" s="3"/>
      <c r="AP159" s="3"/>
    </row>
    <row r="160" spans="1:42">
      <c r="A160" s="4">
        <f>-SUM(J160:AN160)</f>
        <v>0</v>
      </c>
      <c r="B160" t="s">
        <v>206</v>
      </c>
      <c r="E160" s="3"/>
      <c r="F160" s="8"/>
      <c r="G160" s="4"/>
      <c r="I160">
        <f t="shared" si="2"/>
        <v>0</v>
      </c>
      <c r="M160">
        <v>0</v>
      </c>
      <c r="AO160" s="3"/>
      <c r="AP160" s="3"/>
    </row>
    <row r="161" spans="1:42">
      <c r="A161" s="4">
        <f>-SUM(J161:AN161)</f>
        <v>0</v>
      </c>
      <c r="B161" t="s">
        <v>207</v>
      </c>
      <c r="E161" s="3"/>
      <c r="F161" s="8"/>
      <c r="G161" s="4"/>
      <c r="I161">
        <f t="shared" si="2"/>
        <v>0</v>
      </c>
      <c r="M161">
        <v>0</v>
      </c>
      <c r="AO161" s="3"/>
      <c r="AP161" s="3"/>
    </row>
    <row r="162" spans="1:42">
      <c r="A162" s="4">
        <f>-SUM(J162:AN162)</f>
        <v>0</v>
      </c>
      <c r="B162" t="s">
        <v>208</v>
      </c>
      <c r="E162" s="3"/>
      <c r="F162" s="8"/>
      <c r="G162" s="4"/>
      <c r="I162">
        <f t="shared" si="2"/>
        <v>0</v>
      </c>
      <c r="M162">
        <v>0</v>
      </c>
      <c r="AO162" s="3"/>
      <c r="AP162" s="3"/>
    </row>
    <row r="163" spans="1:42">
      <c r="A163" s="4">
        <f>-SUM(J163:AN163)</f>
        <v>0</v>
      </c>
      <c r="B163" t="s">
        <v>209</v>
      </c>
      <c r="E163" s="3"/>
      <c r="F163" s="8"/>
      <c r="G163" s="4"/>
      <c r="I163">
        <f t="shared" si="2"/>
        <v>0</v>
      </c>
      <c r="M163">
        <v>0</v>
      </c>
      <c r="AO163" s="3"/>
      <c r="AP163" s="3"/>
    </row>
    <row r="164" spans="1:42">
      <c r="A164" s="4">
        <f>-SUM(J164:AN164)</f>
        <v>0</v>
      </c>
      <c r="B164" t="s">
        <v>210</v>
      </c>
      <c r="C164" t="s">
        <v>43</v>
      </c>
      <c r="D164" s="1"/>
      <c r="E164" s="3"/>
      <c r="F164" s="8">
        <v>54</v>
      </c>
      <c r="G164" s="4"/>
      <c r="I164">
        <f t="shared" si="2"/>
        <v>54</v>
      </c>
      <c r="M164">
        <v>0</v>
      </c>
      <c r="AO164" s="3"/>
      <c r="AP164" s="3"/>
    </row>
    <row r="165" spans="1:42">
      <c r="A165" s="4">
        <f>-SUM(J165:AN165)</f>
        <v>0</v>
      </c>
      <c r="B165" t="s">
        <v>211</v>
      </c>
      <c r="C165" t="s">
        <v>43</v>
      </c>
      <c r="D165" s="1"/>
      <c r="E165" s="3"/>
      <c r="F165" s="5">
        <v>0</v>
      </c>
      <c r="G165" s="4"/>
      <c r="I165">
        <f t="shared" si="2"/>
        <v>0</v>
      </c>
      <c r="M165">
        <v>0</v>
      </c>
      <c r="AO165" s="3"/>
      <c r="AP165" s="3"/>
    </row>
    <row r="166" spans="1:42">
      <c r="A166" s="4">
        <f>-SUM(J166:AN166)</f>
        <v>0</v>
      </c>
      <c r="B166" t="s">
        <v>212</v>
      </c>
      <c r="C166" t="s">
        <v>82</v>
      </c>
      <c r="D166" s="1"/>
      <c r="E166" s="3"/>
      <c r="F166" s="5">
        <v>0</v>
      </c>
      <c r="G166" s="4"/>
      <c r="I166">
        <f t="shared" si="2"/>
        <v>0</v>
      </c>
      <c r="M166">
        <v>0</v>
      </c>
      <c r="AO166" s="3"/>
      <c r="AP166" s="3"/>
    </row>
    <row r="167" spans="1:42">
      <c r="A167" s="4">
        <f>-SUM(J167:AN167)</f>
        <v>0</v>
      </c>
      <c r="B167" t="s">
        <v>213</v>
      </c>
      <c r="C167" t="s">
        <v>46</v>
      </c>
      <c r="D167" s="1"/>
      <c r="E167" s="3"/>
      <c r="F167" s="5">
        <v>0</v>
      </c>
      <c r="G167" s="4"/>
      <c r="I167">
        <f t="shared" si="2"/>
        <v>0</v>
      </c>
      <c r="M167">
        <v>0</v>
      </c>
      <c r="AO167" s="3"/>
      <c r="AP167" s="3"/>
    </row>
    <row r="168" spans="1:42">
      <c r="A168" s="4">
        <f>-SUM(J168:AN168)</f>
        <v>0</v>
      </c>
      <c r="B168" t="s">
        <v>214</v>
      </c>
      <c r="C168" t="s">
        <v>43</v>
      </c>
      <c r="D168"/>
      <c r="E168" s="3"/>
      <c r="F168" s="5">
        <v>6</v>
      </c>
      <c r="G168" s="4"/>
      <c r="I168">
        <f t="shared" si="2"/>
        <v>6</v>
      </c>
      <c r="M168">
        <v>0</v>
      </c>
      <c r="AO168" s="3"/>
      <c r="AP168" s="3"/>
    </row>
    <row r="169" spans="1:42">
      <c r="A169" s="4">
        <f>-SUM(J169:AN169)</f>
        <v>0</v>
      </c>
      <c r="B169" t="s">
        <v>215</v>
      </c>
      <c r="C169" t="s">
        <v>46</v>
      </c>
      <c r="D169"/>
      <c r="E169" s="3"/>
      <c r="F169" s="5">
        <v>0</v>
      </c>
      <c r="G169" s="4"/>
      <c r="I169">
        <f t="shared" si="2"/>
        <v>0</v>
      </c>
      <c r="M169">
        <v>0</v>
      </c>
      <c r="AO169" s="3"/>
      <c r="AP169" s="3"/>
    </row>
    <row r="170" spans="1:42">
      <c r="A170" s="4">
        <f>-SUM(J170:AN170)</f>
        <v>0</v>
      </c>
      <c r="B170" t="s">
        <v>216</v>
      </c>
      <c r="C170" t="s">
        <v>43</v>
      </c>
      <c r="D170"/>
      <c r="E170" s="3"/>
      <c r="F170" s="5">
        <v>5</v>
      </c>
      <c r="G170" s="4"/>
      <c r="I170">
        <f t="shared" si="2"/>
        <v>5</v>
      </c>
      <c r="M170">
        <v>0</v>
      </c>
      <c r="AO170" s="3"/>
      <c r="AP170" s="3"/>
    </row>
    <row r="171" spans="1:42">
      <c r="A171" s="4">
        <f>-SUM(J171:AN171)</f>
        <v>0</v>
      </c>
      <c r="B171" t="s">
        <v>217</v>
      </c>
      <c r="C171" t="s">
        <v>43</v>
      </c>
      <c r="D171"/>
      <c r="E171" s="3"/>
      <c r="F171" s="5">
        <v>423</v>
      </c>
      <c r="G171" s="4"/>
      <c r="I171">
        <f t="shared" si="2"/>
        <v>423</v>
      </c>
      <c r="M171">
        <v>0</v>
      </c>
      <c r="AO171" s="3"/>
      <c r="AP171" s="3"/>
    </row>
    <row r="172" spans="1:42">
      <c r="A172" s="4">
        <f>-SUM(J172:AN172)</f>
        <v>0</v>
      </c>
      <c r="B172" t="s">
        <v>218</v>
      </c>
      <c r="C172" t="s">
        <v>43</v>
      </c>
      <c r="D172"/>
      <c r="E172" s="3"/>
      <c r="F172" s="5">
        <v>947</v>
      </c>
      <c r="G172" s="4"/>
      <c r="I172">
        <f t="shared" si="2"/>
        <v>947</v>
      </c>
      <c r="M172">
        <v>0</v>
      </c>
      <c r="AO172" s="3"/>
      <c r="AP172" s="3"/>
    </row>
    <row r="173" spans="1:42">
      <c r="A173" s="4">
        <f>-SUM(J173:AN173)</f>
        <v>0</v>
      </c>
      <c r="B173" t="s">
        <v>219</v>
      </c>
      <c r="C173" t="s">
        <v>46</v>
      </c>
      <c r="D173"/>
      <c r="E173" s="3"/>
      <c r="F173" s="5">
        <v>0</v>
      </c>
      <c r="G173" s="4"/>
      <c r="I173">
        <f t="shared" si="2"/>
        <v>0</v>
      </c>
      <c r="M173">
        <v>0</v>
      </c>
      <c r="AO173" s="3"/>
      <c r="AP173" s="3"/>
    </row>
    <row r="174" spans="1:42">
      <c r="A174" s="4">
        <f>-SUM(J174:AN174)</f>
        <v>0</v>
      </c>
      <c r="B174" t="s">
        <v>220</v>
      </c>
      <c r="C174" t="s">
        <v>46</v>
      </c>
      <c r="D174"/>
      <c r="E174" s="3"/>
      <c r="F174" s="5">
        <v>0</v>
      </c>
      <c r="G174" s="4"/>
      <c r="I174">
        <f t="shared" si="2"/>
        <v>0</v>
      </c>
      <c r="M174">
        <v>0</v>
      </c>
      <c r="AO174" s="3"/>
      <c r="AP174" s="3"/>
    </row>
    <row r="175" spans="1:42">
      <c r="A175" s="4">
        <f>-SUM(J175:AN175)</f>
        <v>0</v>
      </c>
      <c r="B175" t="s">
        <v>221</v>
      </c>
      <c r="C175" t="s">
        <v>43</v>
      </c>
      <c r="D175"/>
      <c r="E175" s="3"/>
      <c r="F175" s="5">
        <v>103</v>
      </c>
      <c r="G175" s="4"/>
      <c r="I175">
        <f t="shared" si="2"/>
        <v>103</v>
      </c>
      <c r="M175">
        <v>0</v>
      </c>
      <c r="AO175" s="3"/>
      <c r="AP175" s="3"/>
    </row>
    <row r="176" spans="1:42">
      <c r="A176" s="4">
        <f>-SUM(J176:AN176)</f>
        <v>0</v>
      </c>
      <c r="B176" t="s">
        <v>222</v>
      </c>
      <c r="C176" t="s">
        <v>82</v>
      </c>
      <c r="D176"/>
      <c r="E176" s="3"/>
      <c r="F176" s="5">
        <v>7</v>
      </c>
      <c r="G176" s="4"/>
      <c r="I176">
        <f t="shared" si="2"/>
        <v>7</v>
      </c>
      <c r="M176">
        <v>0</v>
      </c>
      <c r="AO176" s="3"/>
      <c r="AP176" s="3"/>
    </row>
    <row r="177" spans="1:42">
      <c r="A177" s="4">
        <f>-SUM(J177:AN177)</f>
        <v>0</v>
      </c>
      <c r="B177" t="s">
        <v>223</v>
      </c>
      <c r="C177" t="s">
        <v>82</v>
      </c>
      <c r="D177"/>
      <c r="E177" s="3"/>
      <c r="F177" s="5">
        <v>44348</v>
      </c>
      <c r="G177" s="4"/>
      <c r="I177">
        <f t="shared" si="2"/>
        <v>44348</v>
      </c>
      <c r="M177">
        <v>0</v>
      </c>
      <c r="AO177" s="3"/>
      <c r="AP177" s="3"/>
    </row>
    <row r="178" spans="1:42">
      <c r="A178" s="4">
        <f>-SUM(J178:AN178)</f>
        <v>0</v>
      </c>
      <c r="B178" t="s">
        <v>224</v>
      </c>
      <c r="E178" s="3"/>
      <c r="F178" s="8"/>
      <c r="G178" s="4"/>
      <c r="I178">
        <f t="shared" si="2"/>
        <v>0</v>
      </c>
      <c r="M178">
        <v>0</v>
      </c>
      <c r="AO178" s="3"/>
      <c r="AP178" s="3"/>
    </row>
    <row r="179" spans="1:42">
      <c r="A179" s="4">
        <f>-SUM(J179:AN179)</f>
        <v>0</v>
      </c>
      <c r="B179" t="s">
        <v>225</v>
      </c>
      <c r="E179" s="3"/>
      <c r="F179" s="8"/>
      <c r="G179" s="4"/>
      <c r="I179">
        <f t="shared" si="2"/>
        <v>0</v>
      </c>
      <c r="M179">
        <v>0</v>
      </c>
      <c r="AO179" s="3"/>
      <c r="AP179" s="3"/>
    </row>
    <row r="180" spans="1:42">
      <c r="A180" s="4">
        <f>-SUM(J180:AN180)</f>
        <v>0</v>
      </c>
      <c r="B180" t="s">
        <v>226</v>
      </c>
      <c r="E180" s="3"/>
      <c r="F180" s="8"/>
      <c r="G180" s="4"/>
      <c r="I180">
        <f t="shared" si="2"/>
        <v>0</v>
      </c>
      <c r="M180">
        <v>0</v>
      </c>
      <c r="AO180" s="3"/>
      <c r="AP180" s="3"/>
    </row>
    <row r="181" spans="1:42">
      <c r="A181" s="4">
        <f>-SUM(J181:AN181)</f>
        <v>0</v>
      </c>
      <c r="B181" t="s">
        <v>227</v>
      </c>
      <c r="E181" s="3"/>
      <c r="F181" s="8"/>
      <c r="G181" s="4"/>
      <c r="I181">
        <f t="shared" si="2"/>
        <v>0</v>
      </c>
      <c r="M181">
        <v>0</v>
      </c>
      <c r="AO181" s="3"/>
      <c r="AP181" s="3"/>
    </row>
    <row r="182" spans="1:42">
      <c r="A182" s="4">
        <f>-SUM(J182:AN182)</f>
        <v>0</v>
      </c>
      <c r="B182" t="s">
        <v>228</v>
      </c>
      <c r="C182" t="s">
        <v>46</v>
      </c>
      <c r="D182" s="1"/>
      <c r="E182" s="3"/>
      <c r="F182" s="5">
        <v>0</v>
      </c>
      <c r="G182" s="4"/>
      <c r="I182">
        <f t="shared" si="2"/>
        <v>0</v>
      </c>
      <c r="M182">
        <v>0</v>
      </c>
      <c r="AO182" s="3"/>
      <c r="AP182" s="3"/>
    </row>
    <row r="183" spans="1:42">
      <c r="A183" s="4">
        <f>-SUM(J183:AN183)</f>
        <v>0</v>
      </c>
      <c r="B183" t="s">
        <v>229</v>
      </c>
      <c r="C183" t="s">
        <v>43</v>
      </c>
      <c r="D183" s="1">
        <v>45962</v>
      </c>
      <c r="E183" s="3"/>
      <c r="F183" s="5">
        <v>24</v>
      </c>
      <c r="G183" s="4"/>
      <c r="I183">
        <f t="shared" si="2"/>
        <v>24</v>
      </c>
      <c r="M183">
        <v>0</v>
      </c>
      <c r="AO183" s="3"/>
      <c r="AP183" s="3"/>
    </row>
    <row r="184" spans="1:42">
      <c r="A184" s="4">
        <f>-SUM(J184:AN184)</f>
        <v>0</v>
      </c>
      <c r="B184" t="s">
        <v>230</v>
      </c>
      <c r="E184" s="3"/>
      <c r="F184" s="8"/>
      <c r="G184" s="4"/>
      <c r="I184">
        <f t="shared" si="2"/>
        <v>0</v>
      </c>
      <c r="M184">
        <v>0</v>
      </c>
      <c r="AO184" s="3"/>
      <c r="AP184" s="3"/>
    </row>
    <row r="185" spans="1:42">
      <c r="A185" s="4">
        <f>-SUM(J185:AN185)</f>
        <v>0</v>
      </c>
      <c r="B185" t="s">
        <v>231</v>
      </c>
      <c r="E185" s="3"/>
      <c r="F185" s="8"/>
      <c r="G185" s="4"/>
      <c r="I185">
        <f t="shared" si="2"/>
        <v>0</v>
      </c>
      <c r="M185">
        <v>0</v>
      </c>
      <c r="AO185" s="3"/>
      <c r="AP185" s="3"/>
    </row>
    <row r="186" spans="1:42">
      <c r="A186" s="4">
        <f>-SUM(J186:AN186)</f>
        <v>0</v>
      </c>
      <c r="B186" t="s">
        <v>232</v>
      </c>
      <c r="E186" s="3"/>
      <c r="F186" s="8"/>
      <c r="G186" s="4"/>
      <c r="I186">
        <f t="shared" si="2"/>
        <v>0</v>
      </c>
      <c r="M186">
        <v>0</v>
      </c>
      <c r="AO186" s="3"/>
      <c r="AP186" s="3"/>
    </row>
    <row r="187" spans="1:42">
      <c r="A187" s="4">
        <f>-SUM(J187:AN187)</f>
        <v>0</v>
      </c>
      <c r="B187" t="s">
        <v>233</v>
      </c>
      <c r="D187"/>
      <c r="E187" s="3"/>
      <c r="F187" s="5"/>
      <c r="G187" s="4"/>
      <c r="I187">
        <f t="shared" si="2"/>
        <v>0</v>
      </c>
      <c r="M187">
        <v>0</v>
      </c>
      <c r="AO187" s="3"/>
      <c r="AP187" s="3"/>
    </row>
    <row r="188" spans="1:42">
      <c r="A188" s="4">
        <f>-SUM(J188:AN188)</f>
        <v>0</v>
      </c>
      <c r="B188" t="s">
        <v>234</v>
      </c>
      <c r="C188" t="s">
        <v>46</v>
      </c>
      <c r="D188"/>
      <c r="E188" s="3"/>
      <c r="F188" s="5">
        <v>0</v>
      </c>
      <c r="G188" s="4"/>
      <c r="I188">
        <f t="shared" si="2"/>
        <v>0</v>
      </c>
      <c r="M188">
        <v>0</v>
      </c>
      <c r="AO188" s="3"/>
      <c r="AP188" s="3"/>
    </row>
    <row r="189" spans="1:42">
      <c r="A189" s="4">
        <f>-SUM(J189:AN189)</f>
        <v>0</v>
      </c>
      <c r="B189" t="s">
        <v>235</v>
      </c>
      <c r="E189" s="3"/>
      <c r="F189" s="8"/>
      <c r="G189" s="4"/>
      <c r="I189">
        <f t="shared" si="2"/>
        <v>0</v>
      </c>
      <c r="M189">
        <v>0</v>
      </c>
      <c r="AO189" s="3"/>
      <c r="AP189" s="3"/>
    </row>
    <row r="190" spans="1:42">
      <c r="A190" s="4">
        <f>-SUM(J190:AN190)</f>
        <v>0</v>
      </c>
      <c r="B190" t="s">
        <v>236</v>
      </c>
      <c r="E190" s="3"/>
      <c r="F190" s="8"/>
      <c r="G190" s="4"/>
      <c r="I190">
        <f t="shared" si="2"/>
        <v>0</v>
      </c>
      <c r="M190">
        <v>0</v>
      </c>
      <c r="AO190" s="3"/>
      <c r="AP190" s="3"/>
    </row>
    <row r="191" spans="1:42">
      <c r="A191" s="4">
        <f>-SUM(J191:AN191)</f>
        <v>0</v>
      </c>
      <c r="B191" t="s">
        <v>237</v>
      </c>
      <c r="E191" s="3"/>
      <c r="F191" s="8"/>
      <c r="G191" s="4"/>
      <c r="I191">
        <f t="shared" si="2"/>
        <v>0</v>
      </c>
      <c r="M191">
        <v>0</v>
      </c>
      <c r="AO191" s="3"/>
      <c r="AP191" s="3"/>
    </row>
    <row r="192" spans="1:42">
      <c r="A192" s="4">
        <f>-SUM(J192:AN192)</f>
        <v>0</v>
      </c>
      <c r="B192" t="s">
        <v>238</v>
      </c>
      <c r="C192" t="s">
        <v>43</v>
      </c>
      <c r="D192"/>
      <c r="E192" s="3"/>
      <c r="F192" s="5">
        <v>3</v>
      </c>
      <c r="G192" s="4"/>
      <c r="I192">
        <f t="shared" si="2"/>
        <v>3</v>
      </c>
      <c r="M192">
        <v>0</v>
      </c>
      <c r="AO192" s="3"/>
      <c r="AP192" s="3"/>
    </row>
    <row r="193" spans="1:42">
      <c r="A193" s="4">
        <f>-SUM(J193:AN193)</f>
        <v>0</v>
      </c>
      <c r="B193" t="s">
        <v>239</v>
      </c>
      <c r="C193" t="s">
        <v>43</v>
      </c>
      <c r="D193"/>
      <c r="E193" s="3"/>
      <c r="F193" s="5">
        <v>3</v>
      </c>
      <c r="G193" s="4"/>
      <c r="I193">
        <f t="shared" si="2"/>
        <v>3</v>
      </c>
      <c r="M193">
        <v>0</v>
      </c>
      <c r="AO193" s="3"/>
      <c r="AP193" s="3"/>
    </row>
    <row r="194" spans="1:42">
      <c r="A194" s="4">
        <f>-SUM(J194:AN194)</f>
        <v>0</v>
      </c>
      <c r="B194" t="s">
        <v>240</v>
      </c>
      <c r="C194" t="s">
        <v>82</v>
      </c>
      <c r="D194"/>
      <c r="E194" s="3"/>
      <c r="F194" s="5">
        <v>5</v>
      </c>
      <c r="G194" s="4"/>
      <c r="I194">
        <f t="shared" ref="I194:I257" si="3">SUM(F194+G194-E194,J194:AN194)</f>
        <v>5</v>
      </c>
      <c r="M194">
        <v>0</v>
      </c>
      <c r="AO194" s="3"/>
      <c r="AP194" s="3"/>
    </row>
    <row r="195" spans="1:42">
      <c r="A195" s="4">
        <f>-SUM(J195:AN195)</f>
        <v>0</v>
      </c>
      <c r="B195" t="s">
        <v>241</v>
      </c>
      <c r="C195" t="s">
        <v>43</v>
      </c>
      <c r="D195" s="1">
        <v>46113</v>
      </c>
      <c r="E195" s="3"/>
      <c r="F195" s="5">
        <v>15</v>
      </c>
      <c r="G195" s="4"/>
      <c r="I195">
        <f t="shared" si="3"/>
        <v>15</v>
      </c>
      <c r="M195">
        <v>0</v>
      </c>
      <c r="AO195" s="3"/>
      <c r="AP195" s="3"/>
    </row>
    <row r="196" spans="1:42">
      <c r="A196" s="4">
        <f>-SUM(J196:AN196)</f>
        <v>0</v>
      </c>
      <c r="B196" t="s">
        <v>242</v>
      </c>
      <c r="C196" t="s">
        <v>43</v>
      </c>
      <c r="D196" s="1"/>
      <c r="E196" s="3"/>
      <c r="F196" s="5">
        <v>3000</v>
      </c>
      <c r="G196" s="4"/>
      <c r="I196">
        <f t="shared" si="3"/>
        <v>3000</v>
      </c>
      <c r="M196">
        <v>0</v>
      </c>
      <c r="AO196" s="3"/>
      <c r="AP196" s="3"/>
    </row>
    <row r="197" spans="1:42">
      <c r="A197" s="4">
        <f>-SUM(J197:AN197)</f>
        <v>0</v>
      </c>
      <c r="B197" t="s">
        <v>243</v>
      </c>
      <c r="C197" t="s">
        <v>43</v>
      </c>
      <c r="D197" s="1"/>
      <c r="E197" s="3"/>
      <c r="F197" s="5">
        <v>1750</v>
      </c>
      <c r="G197" s="4"/>
      <c r="I197">
        <f t="shared" si="3"/>
        <v>1750</v>
      </c>
      <c r="M197">
        <v>0</v>
      </c>
      <c r="AO197" s="3"/>
      <c r="AP197" s="3"/>
    </row>
    <row r="198" spans="1:42">
      <c r="A198" s="4">
        <f>-SUM(J198:AN198)</f>
        <v>0</v>
      </c>
      <c r="B198" t="s">
        <v>244</v>
      </c>
      <c r="C198" t="s">
        <v>43</v>
      </c>
      <c r="D198" s="1"/>
      <c r="E198" s="3"/>
      <c r="F198" s="5">
        <v>14190</v>
      </c>
      <c r="G198" s="4"/>
      <c r="I198">
        <f t="shared" si="3"/>
        <v>14190</v>
      </c>
      <c r="M198">
        <v>0</v>
      </c>
      <c r="AO198" s="3"/>
      <c r="AP198" s="3"/>
    </row>
    <row r="199" spans="1:42">
      <c r="A199" s="4">
        <f>-SUM(J199:AN199)</f>
        <v>0</v>
      </c>
      <c r="B199" t="s">
        <v>245</v>
      </c>
      <c r="C199" t="s">
        <v>43</v>
      </c>
      <c r="D199"/>
      <c r="E199" s="3"/>
      <c r="F199" s="8">
        <v>3000</v>
      </c>
      <c r="G199" s="4"/>
      <c r="I199">
        <f t="shared" si="3"/>
        <v>3000</v>
      </c>
      <c r="M199">
        <v>0</v>
      </c>
      <c r="AO199" s="3"/>
      <c r="AP199" s="3"/>
    </row>
    <row r="200" spans="1:42">
      <c r="A200" s="4">
        <f>-SUM(J200:AN200)</f>
        <v>0</v>
      </c>
      <c r="B200" t="s">
        <v>246</v>
      </c>
      <c r="C200" t="s">
        <v>43</v>
      </c>
      <c r="D200"/>
      <c r="E200" s="3"/>
      <c r="F200" s="5">
        <v>750</v>
      </c>
      <c r="G200" s="4"/>
      <c r="I200">
        <f t="shared" si="3"/>
        <v>750</v>
      </c>
      <c r="M200">
        <v>0</v>
      </c>
      <c r="AO200" s="3"/>
      <c r="AP200" s="3"/>
    </row>
    <row r="201" spans="1:42">
      <c r="A201" s="4">
        <f>-SUM(J201:AN201)</f>
        <v>0</v>
      </c>
      <c r="B201" t="s">
        <v>247</v>
      </c>
      <c r="C201" t="s">
        <v>46</v>
      </c>
      <c r="D201"/>
      <c r="E201" s="3"/>
      <c r="F201" s="5">
        <v>0</v>
      </c>
      <c r="G201" s="4"/>
      <c r="I201">
        <f t="shared" si="3"/>
        <v>0</v>
      </c>
      <c r="M201">
        <v>0</v>
      </c>
      <c r="AO201" s="3"/>
      <c r="AP201" s="3"/>
    </row>
    <row r="202" spans="1:42">
      <c r="A202" s="4">
        <f>-SUM(J202:AN202)</f>
        <v>0</v>
      </c>
      <c r="B202" t="s">
        <v>248</v>
      </c>
      <c r="C202" t="s">
        <v>43</v>
      </c>
      <c r="D202"/>
      <c r="E202" s="3"/>
      <c r="F202" s="5">
        <v>336</v>
      </c>
      <c r="G202" s="4"/>
      <c r="I202">
        <f t="shared" si="3"/>
        <v>336</v>
      </c>
      <c r="M202">
        <v>0</v>
      </c>
      <c r="AO202" s="3"/>
      <c r="AP202" s="3"/>
    </row>
    <row r="203" spans="1:42">
      <c r="A203" s="4">
        <f>-SUM(J203:AN203)</f>
        <v>0</v>
      </c>
      <c r="B203" t="s">
        <v>249</v>
      </c>
      <c r="C203" t="s">
        <v>43</v>
      </c>
      <c r="D203"/>
      <c r="E203" s="3"/>
      <c r="F203" s="5">
        <v>11350</v>
      </c>
      <c r="G203" s="4"/>
      <c r="I203">
        <f t="shared" si="3"/>
        <v>11350</v>
      </c>
      <c r="M203">
        <v>0</v>
      </c>
      <c r="AO203" s="3"/>
      <c r="AP203" s="3"/>
    </row>
    <row r="204" spans="1:42">
      <c r="A204" s="4">
        <f>-SUM(J204:AN204)</f>
        <v>0</v>
      </c>
      <c r="B204" t="s">
        <v>250</v>
      </c>
      <c r="C204" t="s">
        <v>46</v>
      </c>
      <c r="D204"/>
      <c r="E204" s="3"/>
      <c r="F204" s="5">
        <v>0</v>
      </c>
      <c r="G204" s="4"/>
      <c r="I204">
        <f t="shared" si="3"/>
        <v>0</v>
      </c>
      <c r="M204">
        <v>0</v>
      </c>
      <c r="AO204" s="3"/>
      <c r="AP204" s="3"/>
    </row>
    <row r="205" spans="1:42">
      <c r="A205" s="4">
        <f>-SUM(J205:AN205)</f>
        <v>0</v>
      </c>
      <c r="B205" t="s">
        <v>251</v>
      </c>
      <c r="C205" t="s">
        <v>46</v>
      </c>
      <c r="D205"/>
      <c r="E205" s="3"/>
      <c r="F205" s="5">
        <v>0</v>
      </c>
      <c r="G205" s="4"/>
      <c r="I205">
        <f t="shared" si="3"/>
        <v>0</v>
      </c>
      <c r="M205">
        <v>0</v>
      </c>
      <c r="AO205" s="3"/>
      <c r="AP205" s="3"/>
    </row>
    <row r="206" spans="1:42">
      <c r="A206" s="4">
        <f>-SUM(J206:AN206)</f>
        <v>0</v>
      </c>
      <c r="B206" t="s">
        <v>252</v>
      </c>
      <c r="C206" t="s">
        <v>46</v>
      </c>
      <c r="D206"/>
      <c r="E206" s="3"/>
      <c r="F206" s="5">
        <v>0</v>
      </c>
      <c r="G206" s="4"/>
      <c r="I206">
        <f t="shared" si="3"/>
        <v>0</v>
      </c>
      <c r="M206">
        <v>0</v>
      </c>
      <c r="AO206" s="3"/>
      <c r="AP206" s="3"/>
    </row>
    <row r="207" spans="1:42">
      <c r="A207" s="4">
        <f>-SUM(J207:AN207)</f>
        <v>0</v>
      </c>
      <c r="B207" t="s">
        <v>253</v>
      </c>
      <c r="E207" s="3"/>
      <c r="F207" s="8"/>
      <c r="G207" s="4"/>
      <c r="I207">
        <f t="shared" si="3"/>
        <v>0</v>
      </c>
      <c r="M207">
        <v>0</v>
      </c>
      <c r="AO207" s="3"/>
      <c r="AP207" s="3"/>
    </row>
    <row r="208" spans="1:42">
      <c r="A208" s="4">
        <f>-SUM(J208:AN208)</f>
        <v>0</v>
      </c>
      <c r="B208" t="s">
        <v>254</v>
      </c>
      <c r="E208" s="3"/>
      <c r="F208" s="8"/>
      <c r="G208" s="4"/>
      <c r="I208">
        <f t="shared" si="3"/>
        <v>0</v>
      </c>
      <c r="M208">
        <v>0</v>
      </c>
      <c r="AO208" s="3"/>
      <c r="AP208" s="3"/>
    </row>
    <row r="209" spans="1:42">
      <c r="A209" s="4">
        <f>-SUM(J209:AN209)</f>
        <v>0</v>
      </c>
      <c r="B209" t="s">
        <v>255</v>
      </c>
      <c r="E209" s="3"/>
      <c r="F209" s="8"/>
      <c r="G209" s="4"/>
      <c r="I209">
        <f t="shared" si="3"/>
        <v>0</v>
      </c>
      <c r="M209">
        <v>0</v>
      </c>
      <c r="AO209" s="3"/>
      <c r="AP209" s="3"/>
    </row>
    <row r="210" spans="1:42">
      <c r="A210" s="4">
        <f>-SUM(J210:AN210)</f>
        <v>0</v>
      </c>
      <c r="B210" t="s">
        <v>256</v>
      </c>
      <c r="E210" s="3"/>
      <c r="F210" s="8"/>
      <c r="G210" s="4"/>
      <c r="I210">
        <f t="shared" si="3"/>
        <v>0</v>
      </c>
      <c r="M210">
        <v>0</v>
      </c>
      <c r="AO210" s="3"/>
      <c r="AP210" s="3"/>
    </row>
    <row r="211" spans="1:42">
      <c r="A211" s="4">
        <f>-SUM(J211:AN211)</f>
        <v>0</v>
      </c>
      <c r="B211" t="s">
        <v>257</v>
      </c>
      <c r="C211" t="s">
        <v>43</v>
      </c>
      <c r="D211"/>
      <c r="E211" s="3"/>
      <c r="F211" s="5">
        <v>128</v>
      </c>
      <c r="G211" s="4"/>
      <c r="I211">
        <f t="shared" si="3"/>
        <v>128</v>
      </c>
      <c r="M211">
        <v>0</v>
      </c>
      <c r="AO211" s="3"/>
      <c r="AP211" s="3"/>
    </row>
    <row r="212" spans="1:42">
      <c r="A212" s="4">
        <f>-SUM(J212:AN212)</f>
        <v>0</v>
      </c>
      <c r="B212" t="s">
        <v>258</v>
      </c>
      <c r="C212" t="s">
        <v>43</v>
      </c>
      <c r="D212"/>
      <c r="E212" s="3"/>
      <c r="F212" s="5">
        <v>92</v>
      </c>
      <c r="G212" s="4"/>
      <c r="I212">
        <f t="shared" si="3"/>
        <v>92</v>
      </c>
      <c r="M212">
        <v>0</v>
      </c>
      <c r="AO212" s="3"/>
      <c r="AP212" s="3"/>
    </row>
    <row r="213" spans="1:42">
      <c r="A213" s="4">
        <f>-SUM(J213:AN213)</f>
        <v>0</v>
      </c>
      <c r="B213" t="s">
        <v>259</v>
      </c>
      <c r="C213" t="s">
        <v>46</v>
      </c>
      <c r="D213"/>
      <c r="E213" s="3"/>
      <c r="F213" s="5">
        <v>0</v>
      </c>
      <c r="G213" s="4"/>
      <c r="I213">
        <f t="shared" si="3"/>
        <v>0</v>
      </c>
      <c r="M213">
        <v>0</v>
      </c>
      <c r="AO213" s="3"/>
      <c r="AP213" s="3"/>
    </row>
    <row r="214" spans="1:42">
      <c r="A214" s="4">
        <f>-SUM(J214:AN214)</f>
        <v>0</v>
      </c>
      <c r="B214" t="s">
        <v>260</v>
      </c>
      <c r="C214" t="s">
        <v>43</v>
      </c>
      <c r="D214" s="1"/>
      <c r="E214" s="3"/>
      <c r="F214" s="5">
        <v>0</v>
      </c>
      <c r="G214" s="4"/>
      <c r="I214">
        <f t="shared" si="3"/>
        <v>0</v>
      </c>
      <c r="M214">
        <v>0</v>
      </c>
      <c r="AO214" s="3"/>
      <c r="AP214" s="3"/>
    </row>
    <row r="215" spans="1:42">
      <c r="A215" s="4">
        <f>-SUM(J215:AN215)</f>
        <v>0</v>
      </c>
      <c r="B215" t="s">
        <v>261</v>
      </c>
      <c r="C215" t="s">
        <v>43</v>
      </c>
      <c r="D215" s="1">
        <v>45901</v>
      </c>
      <c r="E215" s="3"/>
      <c r="F215" s="5">
        <v>407</v>
      </c>
      <c r="G215" s="4"/>
      <c r="I215">
        <f t="shared" si="3"/>
        <v>407</v>
      </c>
      <c r="M215">
        <v>0</v>
      </c>
      <c r="AO215" s="3"/>
      <c r="AP215" s="3"/>
    </row>
    <row r="216" spans="1:42">
      <c r="A216" s="4">
        <f>-SUM(J216:AN216)</f>
        <v>0</v>
      </c>
      <c r="B216" t="s">
        <v>262</v>
      </c>
      <c r="C216" t="s">
        <v>46</v>
      </c>
      <c r="D216" s="1">
        <v>45992</v>
      </c>
      <c r="E216" s="3"/>
      <c r="F216" s="5">
        <v>34</v>
      </c>
      <c r="G216" s="4"/>
      <c r="I216">
        <f t="shared" si="3"/>
        <v>34</v>
      </c>
      <c r="M216">
        <v>0</v>
      </c>
      <c r="AO216" s="3"/>
      <c r="AP216" s="3"/>
    </row>
    <row r="217" spans="1:42">
      <c r="A217" s="4">
        <f>-SUM(J217:AN217)</f>
        <v>0</v>
      </c>
      <c r="B217" t="s">
        <v>263</v>
      </c>
      <c r="E217" s="3"/>
      <c r="F217" s="8"/>
      <c r="G217" s="4"/>
      <c r="I217">
        <f t="shared" si="3"/>
        <v>0</v>
      </c>
      <c r="M217">
        <v>0</v>
      </c>
      <c r="AO217" s="3"/>
      <c r="AP217" s="3"/>
    </row>
    <row r="218" spans="1:42">
      <c r="A218" s="4">
        <f>-SUM(J218:AN218)</f>
        <v>0</v>
      </c>
      <c r="B218" t="s">
        <v>264</v>
      </c>
      <c r="E218" s="3"/>
      <c r="F218" s="8"/>
      <c r="G218" s="4"/>
      <c r="I218">
        <f t="shared" si="3"/>
        <v>0</v>
      </c>
      <c r="M218">
        <v>0</v>
      </c>
      <c r="AO218" s="3"/>
      <c r="AP218" s="3"/>
    </row>
    <row r="219" spans="1:42">
      <c r="A219" s="4">
        <f>-SUM(J219:AN219)</f>
        <v>0</v>
      </c>
      <c r="B219" t="s">
        <v>265</v>
      </c>
      <c r="C219" t="s">
        <v>43</v>
      </c>
      <c r="D219" s="1"/>
      <c r="E219" s="3"/>
      <c r="F219" s="5">
        <v>0</v>
      </c>
      <c r="G219" s="4"/>
      <c r="I219">
        <f t="shared" si="3"/>
        <v>0</v>
      </c>
      <c r="M219">
        <v>0</v>
      </c>
      <c r="AO219" s="3"/>
      <c r="AP219" s="3"/>
    </row>
    <row r="220" spans="1:42">
      <c r="A220" s="4">
        <f>-SUM(J220:AN220)</f>
        <v>0</v>
      </c>
      <c r="B220" t="s">
        <v>266</v>
      </c>
      <c r="C220" t="s">
        <v>43</v>
      </c>
      <c r="D220"/>
      <c r="E220" s="3"/>
      <c r="F220" s="5">
        <v>124</v>
      </c>
      <c r="G220" s="4"/>
      <c r="I220">
        <f t="shared" si="3"/>
        <v>124</v>
      </c>
      <c r="M220">
        <v>0</v>
      </c>
      <c r="AO220" s="3"/>
      <c r="AP220" s="3"/>
    </row>
    <row r="221" spans="1:42">
      <c r="A221" s="4">
        <f>-SUM(J221:AN221)</f>
        <v>0</v>
      </c>
      <c r="B221" t="s">
        <v>267</v>
      </c>
      <c r="C221" t="s">
        <v>43</v>
      </c>
      <c r="D221"/>
      <c r="E221" s="3"/>
      <c r="F221" s="5">
        <v>49</v>
      </c>
      <c r="G221" s="4"/>
      <c r="I221">
        <f t="shared" si="3"/>
        <v>49</v>
      </c>
      <c r="M221">
        <v>0</v>
      </c>
      <c r="AO221" s="3"/>
      <c r="AP221" s="3"/>
    </row>
    <row r="222" spans="1:42">
      <c r="A222" s="4">
        <f>-SUM(J222:AN222)</f>
        <v>0</v>
      </c>
      <c r="B222" t="s">
        <v>268</v>
      </c>
      <c r="C222" t="s">
        <v>43</v>
      </c>
      <c r="D222" s="1">
        <v>45992</v>
      </c>
      <c r="E222" s="3"/>
      <c r="F222" s="5">
        <v>19</v>
      </c>
      <c r="G222" s="4"/>
      <c r="I222">
        <f t="shared" si="3"/>
        <v>19</v>
      </c>
      <c r="M222">
        <v>0</v>
      </c>
      <c r="AO222" s="3"/>
      <c r="AP222" s="3"/>
    </row>
    <row r="223" spans="1:42">
      <c r="A223" s="4">
        <f>-SUM(J223:AN223)</f>
        <v>0</v>
      </c>
      <c r="B223" t="s">
        <v>269</v>
      </c>
      <c r="C223" t="s">
        <v>43</v>
      </c>
      <c r="D223" s="1">
        <v>45870</v>
      </c>
      <c r="E223" s="3"/>
      <c r="F223" s="5">
        <v>10</v>
      </c>
      <c r="G223" s="4"/>
      <c r="I223">
        <f t="shared" si="3"/>
        <v>10</v>
      </c>
      <c r="M223">
        <v>0</v>
      </c>
      <c r="AO223" s="3"/>
      <c r="AP223" s="3"/>
    </row>
    <row r="224" spans="1:42">
      <c r="A224" s="4">
        <f>-SUM(J224:AN224)</f>
        <v>0</v>
      </c>
      <c r="B224" t="s">
        <v>270</v>
      </c>
      <c r="C224" t="s">
        <v>43</v>
      </c>
      <c r="D224"/>
      <c r="E224" s="3"/>
      <c r="F224" s="5">
        <v>10</v>
      </c>
      <c r="G224" s="4"/>
      <c r="I224">
        <f t="shared" si="3"/>
        <v>10</v>
      </c>
      <c r="M224">
        <v>0</v>
      </c>
      <c r="AO224" s="3"/>
      <c r="AP224" s="3"/>
    </row>
    <row r="225" spans="1:42">
      <c r="A225" s="4">
        <f>-SUM(J225:AN225)</f>
        <v>0</v>
      </c>
      <c r="B225" t="s">
        <v>271</v>
      </c>
      <c r="C225" t="s">
        <v>43</v>
      </c>
      <c r="D225"/>
      <c r="E225" s="3"/>
      <c r="F225" s="5">
        <v>30</v>
      </c>
      <c r="G225" s="4"/>
      <c r="I225">
        <f t="shared" si="3"/>
        <v>30</v>
      </c>
      <c r="M225">
        <v>0</v>
      </c>
      <c r="AO225" s="3"/>
      <c r="AP225" s="3"/>
    </row>
    <row r="226" spans="1:42">
      <c r="A226" s="4">
        <f>-SUM(J226:AN226)</f>
        <v>0</v>
      </c>
      <c r="B226" t="s">
        <v>272</v>
      </c>
      <c r="C226" t="s">
        <v>43</v>
      </c>
      <c r="D226"/>
      <c r="E226" s="3"/>
      <c r="F226" s="5">
        <v>5</v>
      </c>
      <c r="G226" s="4"/>
      <c r="I226">
        <f t="shared" si="3"/>
        <v>5</v>
      </c>
      <c r="M226">
        <v>0</v>
      </c>
      <c r="AO226" s="3"/>
      <c r="AP226" s="3"/>
    </row>
    <row r="227" spans="1:42">
      <c r="A227" s="4">
        <f>-SUM(J227:AN227)</f>
        <v>0</v>
      </c>
      <c r="B227" t="s">
        <v>273</v>
      </c>
      <c r="C227" t="s">
        <v>274</v>
      </c>
      <c r="D227"/>
      <c r="E227" s="3"/>
      <c r="F227" s="5">
        <v>3</v>
      </c>
      <c r="G227" s="4"/>
      <c r="I227">
        <f t="shared" si="3"/>
        <v>3</v>
      </c>
      <c r="M227">
        <v>0</v>
      </c>
      <c r="AO227" s="3"/>
      <c r="AP227" s="3"/>
    </row>
    <row r="228" spans="1:42">
      <c r="A228" s="4">
        <f>-SUM(J228:AN228)</f>
        <v>0</v>
      </c>
      <c r="B228" t="s">
        <v>275</v>
      </c>
      <c r="C228" t="s">
        <v>274</v>
      </c>
      <c r="D228"/>
      <c r="E228" s="3"/>
      <c r="F228" s="5">
        <v>3</v>
      </c>
      <c r="G228" s="4"/>
      <c r="I228">
        <f t="shared" si="3"/>
        <v>3</v>
      </c>
      <c r="M228">
        <v>0</v>
      </c>
      <c r="AO228" s="3"/>
      <c r="AP228" s="3"/>
    </row>
    <row r="229" spans="1:42">
      <c r="A229" s="4">
        <f>-SUM(J229:AN229)</f>
        <v>0</v>
      </c>
      <c r="B229" t="s">
        <v>276</v>
      </c>
      <c r="C229" t="s">
        <v>274</v>
      </c>
      <c r="D229"/>
      <c r="E229" s="3"/>
      <c r="F229" s="5">
        <v>5</v>
      </c>
      <c r="G229" s="4"/>
      <c r="I229">
        <f t="shared" si="3"/>
        <v>5</v>
      </c>
      <c r="M229">
        <v>0</v>
      </c>
      <c r="AO229" s="3"/>
      <c r="AP229" s="3"/>
    </row>
    <row r="230" spans="1:42">
      <c r="A230" s="4">
        <f>-SUM(J230:AN230)</f>
        <v>0</v>
      </c>
      <c r="B230" t="s">
        <v>277</v>
      </c>
      <c r="C230" t="s">
        <v>46</v>
      </c>
      <c r="D230"/>
      <c r="E230" s="3"/>
      <c r="F230" s="5">
        <v>0</v>
      </c>
      <c r="G230" s="4"/>
      <c r="I230">
        <f t="shared" si="3"/>
        <v>0</v>
      </c>
      <c r="M230">
        <v>0</v>
      </c>
      <c r="AO230" s="3"/>
      <c r="AP230" s="3"/>
    </row>
    <row r="231" spans="1:42">
      <c r="A231" s="4">
        <f>-SUM(J231:AN231)</f>
        <v>0</v>
      </c>
      <c r="B231" t="s">
        <v>278</v>
      </c>
      <c r="C231" t="s">
        <v>46</v>
      </c>
      <c r="D231"/>
      <c r="E231" s="3"/>
      <c r="F231" s="5">
        <v>0</v>
      </c>
      <c r="G231" s="4"/>
      <c r="I231">
        <f t="shared" si="3"/>
        <v>0</v>
      </c>
      <c r="M231">
        <v>0</v>
      </c>
      <c r="AO231" s="3"/>
      <c r="AP231" s="3"/>
    </row>
    <row r="232" spans="1:42">
      <c r="A232" s="4">
        <f>-SUM(J232:AN232)</f>
        <v>0</v>
      </c>
      <c r="B232" t="s">
        <v>279</v>
      </c>
      <c r="C232" t="s">
        <v>54</v>
      </c>
      <c r="D232"/>
      <c r="E232" s="3"/>
      <c r="F232" s="5">
        <v>18</v>
      </c>
      <c r="G232" s="4"/>
      <c r="I232">
        <f t="shared" si="3"/>
        <v>18</v>
      </c>
      <c r="M232">
        <v>0</v>
      </c>
      <c r="AO232" s="3"/>
      <c r="AP232" s="3"/>
    </row>
    <row r="233" spans="1:42">
      <c r="A233" s="4">
        <f>-SUM(J233:AN233)</f>
        <v>0</v>
      </c>
      <c r="B233" t="s">
        <v>280</v>
      </c>
      <c r="C233" t="s">
        <v>54</v>
      </c>
      <c r="D233"/>
      <c r="E233" s="3"/>
      <c r="F233" s="5">
        <v>30</v>
      </c>
      <c r="G233" s="4"/>
      <c r="I233">
        <f t="shared" si="3"/>
        <v>30</v>
      </c>
      <c r="M233">
        <v>0</v>
      </c>
      <c r="AO233" s="3"/>
      <c r="AP233" s="3"/>
    </row>
    <row r="234" spans="1:42">
      <c r="A234" s="4">
        <f>-SUM(J234:AN234)</f>
        <v>0</v>
      </c>
      <c r="B234" t="s">
        <v>281</v>
      </c>
      <c r="C234" t="s">
        <v>54</v>
      </c>
      <c r="D234"/>
      <c r="E234" s="3"/>
      <c r="F234" s="5">
        <v>17</v>
      </c>
      <c r="G234" s="4"/>
      <c r="I234">
        <f t="shared" si="3"/>
        <v>17</v>
      </c>
      <c r="M234">
        <v>0</v>
      </c>
      <c r="AO234" s="3"/>
      <c r="AP234" s="3"/>
    </row>
    <row r="235" spans="1:42">
      <c r="A235" s="4">
        <f>-SUM(J235:AN235)</f>
        <v>0</v>
      </c>
      <c r="B235" t="s">
        <v>282</v>
      </c>
      <c r="C235" t="s">
        <v>54</v>
      </c>
      <c r="D235"/>
      <c r="E235" s="3"/>
      <c r="F235" s="5">
        <v>19</v>
      </c>
      <c r="G235" s="4"/>
      <c r="I235">
        <f t="shared" si="3"/>
        <v>19</v>
      </c>
      <c r="M235">
        <v>0</v>
      </c>
      <c r="AO235" s="3"/>
      <c r="AP235" s="3"/>
    </row>
    <row r="236" spans="1:42">
      <c r="A236" s="4">
        <f>-SUM(J236:AN236)</f>
        <v>0</v>
      </c>
      <c r="B236" t="s">
        <v>283</v>
      </c>
      <c r="C236" t="s">
        <v>54</v>
      </c>
      <c r="D236"/>
      <c r="E236" s="3"/>
      <c r="F236" s="5">
        <v>36</v>
      </c>
      <c r="G236" s="4"/>
      <c r="I236">
        <f t="shared" si="3"/>
        <v>36</v>
      </c>
      <c r="M236">
        <v>0</v>
      </c>
      <c r="AO236" s="3"/>
      <c r="AP236" s="3"/>
    </row>
    <row r="237" spans="1:42">
      <c r="A237" s="4">
        <f>-SUM(J237:AN237)</f>
        <v>0</v>
      </c>
      <c r="B237" t="s">
        <v>284</v>
      </c>
      <c r="C237" t="s">
        <v>54</v>
      </c>
      <c r="D237"/>
      <c r="E237" s="3"/>
      <c r="F237" s="5">
        <v>29</v>
      </c>
      <c r="G237" s="4"/>
      <c r="I237">
        <f t="shared" si="3"/>
        <v>29</v>
      </c>
      <c r="M237">
        <v>0</v>
      </c>
      <c r="AO237" s="3"/>
      <c r="AP237" s="3"/>
    </row>
    <row r="238" spans="1:42">
      <c r="A238" s="4">
        <f>-SUM(J238:AN238)</f>
        <v>0</v>
      </c>
      <c r="B238" t="s">
        <v>285</v>
      </c>
      <c r="C238" t="s">
        <v>54</v>
      </c>
      <c r="D238"/>
      <c r="E238" s="3"/>
      <c r="F238" s="5">
        <v>9</v>
      </c>
      <c r="G238" s="4"/>
      <c r="I238">
        <f t="shared" si="3"/>
        <v>9</v>
      </c>
      <c r="M238">
        <v>0</v>
      </c>
      <c r="AO238" s="3"/>
      <c r="AP238" s="3"/>
    </row>
    <row r="239" spans="1:42">
      <c r="A239" s="4">
        <f>-SUM(J239:AN239)</f>
        <v>0</v>
      </c>
      <c r="B239" t="s">
        <v>286</v>
      </c>
      <c r="C239" t="s">
        <v>54</v>
      </c>
      <c r="D239"/>
      <c r="E239" s="3"/>
      <c r="F239" s="5">
        <v>6</v>
      </c>
      <c r="G239" s="4"/>
      <c r="I239">
        <f t="shared" si="3"/>
        <v>6</v>
      </c>
      <c r="M239">
        <v>0</v>
      </c>
      <c r="AO239" s="3"/>
      <c r="AP239" s="3"/>
    </row>
    <row r="240" spans="1:42">
      <c r="A240" s="4">
        <f>-SUM(J240:AN240)</f>
        <v>0</v>
      </c>
      <c r="B240" t="s">
        <v>287</v>
      </c>
      <c r="C240" t="s">
        <v>54</v>
      </c>
      <c r="D240"/>
      <c r="E240" s="3"/>
      <c r="F240" s="5">
        <v>4</v>
      </c>
      <c r="G240" s="4"/>
      <c r="I240">
        <f t="shared" si="3"/>
        <v>4</v>
      </c>
      <c r="M240">
        <v>0</v>
      </c>
      <c r="AO240" s="3"/>
      <c r="AP240" s="3"/>
    </row>
    <row r="241" spans="1:42">
      <c r="A241" s="4">
        <f>-SUM(J241:AN241)</f>
        <v>0</v>
      </c>
      <c r="B241" t="s">
        <v>288</v>
      </c>
      <c r="C241" t="s">
        <v>54</v>
      </c>
      <c r="D241"/>
      <c r="E241" s="3"/>
      <c r="F241" s="5">
        <v>3</v>
      </c>
      <c r="G241" s="4"/>
      <c r="I241">
        <f t="shared" si="3"/>
        <v>3</v>
      </c>
      <c r="M241">
        <v>0</v>
      </c>
      <c r="AO241" s="3"/>
      <c r="AP241" s="3"/>
    </row>
    <row r="242" spans="1:42">
      <c r="A242" s="4">
        <f>-SUM(J242:AN242)</f>
        <v>0</v>
      </c>
      <c r="B242" t="s">
        <v>289</v>
      </c>
      <c r="C242" t="s">
        <v>54</v>
      </c>
      <c r="D242"/>
      <c r="E242" s="3"/>
      <c r="F242" s="5">
        <v>15</v>
      </c>
      <c r="G242" s="4"/>
      <c r="I242">
        <f t="shared" si="3"/>
        <v>15</v>
      </c>
      <c r="M242">
        <v>0</v>
      </c>
      <c r="AO242" s="3"/>
      <c r="AP242" s="3"/>
    </row>
    <row r="243" spans="1:42">
      <c r="A243" s="4">
        <f>-SUM(J243:AN243)</f>
        <v>0</v>
      </c>
      <c r="B243" t="s">
        <v>290</v>
      </c>
      <c r="C243" t="s">
        <v>54</v>
      </c>
      <c r="D243"/>
      <c r="E243" s="3"/>
      <c r="F243" s="5">
        <v>10</v>
      </c>
      <c r="G243" s="4"/>
      <c r="I243">
        <f t="shared" si="3"/>
        <v>10</v>
      </c>
      <c r="M243">
        <v>0</v>
      </c>
      <c r="AO243" s="3"/>
      <c r="AP243" s="3"/>
    </row>
    <row r="244" spans="1:42">
      <c r="A244" s="4">
        <f>-SUM(J244:AN244)</f>
        <v>0</v>
      </c>
      <c r="B244" t="s">
        <v>291</v>
      </c>
      <c r="C244" t="s">
        <v>54</v>
      </c>
      <c r="D244"/>
      <c r="E244" s="3"/>
      <c r="F244" s="5">
        <v>13</v>
      </c>
      <c r="G244" s="4"/>
      <c r="I244">
        <f t="shared" si="3"/>
        <v>13</v>
      </c>
      <c r="M244">
        <v>0</v>
      </c>
      <c r="AO244" s="3"/>
      <c r="AP244" s="3"/>
    </row>
    <row r="245" spans="1:42">
      <c r="A245" s="4">
        <f>-SUM(J245:AN245)</f>
        <v>0</v>
      </c>
      <c r="B245" t="s">
        <v>292</v>
      </c>
      <c r="C245" t="s">
        <v>54</v>
      </c>
      <c r="D245"/>
      <c r="E245" s="3"/>
      <c r="F245" s="5">
        <v>10</v>
      </c>
      <c r="G245" s="4"/>
      <c r="I245">
        <f t="shared" si="3"/>
        <v>10</v>
      </c>
      <c r="M245">
        <v>0</v>
      </c>
      <c r="AO245" s="3"/>
      <c r="AP245" s="3"/>
    </row>
    <row r="246" spans="1:42">
      <c r="A246" s="4">
        <f>-SUM(J246:AN246)</f>
        <v>0</v>
      </c>
      <c r="B246" t="s">
        <v>293</v>
      </c>
      <c r="C246" t="s">
        <v>43</v>
      </c>
      <c r="D246" s="1"/>
      <c r="E246" s="3"/>
      <c r="F246" s="5">
        <v>0</v>
      </c>
      <c r="G246" s="4"/>
      <c r="I246">
        <f t="shared" si="3"/>
        <v>0</v>
      </c>
      <c r="M246">
        <v>0</v>
      </c>
      <c r="AO246" s="3"/>
      <c r="AP246" s="3"/>
    </row>
    <row r="247" spans="1:42">
      <c r="A247" s="4">
        <f>-SUM(J247:AN247)</f>
        <v>0</v>
      </c>
      <c r="B247" t="s">
        <v>294</v>
      </c>
      <c r="C247" t="s">
        <v>43</v>
      </c>
      <c r="D247" s="1"/>
      <c r="E247" s="3"/>
      <c r="F247" s="5">
        <v>0</v>
      </c>
      <c r="G247" s="4"/>
      <c r="I247">
        <f t="shared" si="3"/>
        <v>0</v>
      </c>
      <c r="M247">
        <v>0</v>
      </c>
      <c r="AO247" s="3"/>
      <c r="AP247" s="3"/>
    </row>
    <row r="248" spans="1:42">
      <c r="A248" s="4">
        <f>-SUM(J248:AN248)</f>
        <v>0</v>
      </c>
      <c r="B248" t="s">
        <v>295</v>
      </c>
      <c r="C248" t="s">
        <v>43</v>
      </c>
      <c r="D248"/>
      <c r="E248" s="3"/>
      <c r="F248" s="5">
        <v>0</v>
      </c>
      <c r="G248" s="4"/>
      <c r="I248">
        <f t="shared" si="3"/>
        <v>0</v>
      </c>
      <c r="M248">
        <v>0</v>
      </c>
      <c r="AO248" s="3"/>
      <c r="AP248" s="3"/>
    </row>
    <row r="249" spans="1:42">
      <c r="A249" s="4">
        <f>-SUM(J249:AN249)</f>
        <v>0</v>
      </c>
      <c r="B249" t="s">
        <v>296</v>
      </c>
      <c r="C249" t="s">
        <v>43</v>
      </c>
      <c r="D249" s="1">
        <v>46266</v>
      </c>
      <c r="E249" s="3"/>
      <c r="F249" s="5">
        <v>104</v>
      </c>
      <c r="G249" s="4"/>
      <c r="I249">
        <f t="shared" si="3"/>
        <v>104</v>
      </c>
      <c r="M249">
        <v>0</v>
      </c>
      <c r="AO249" s="3"/>
      <c r="AP249" s="3"/>
    </row>
    <row r="250" spans="1:42">
      <c r="A250" s="4">
        <f>-SUM(J250:AN250)</f>
        <v>0</v>
      </c>
      <c r="B250" t="s">
        <v>297</v>
      </c>
      <c r="C250" t="s">
        <v>43</v>
      </c>
      <c r="D250" s="1">
        <v>46023</v>
      </c>
      <c r="E250" s="3"/>
      <c r="F250" s="5">
        <v>899</v>
      </c>
      <c r="G250" s="4"/>
      <c r="I250">
        <f t="shared" si="3"/>
        <v>899</v>
      </c>
      <c r="M250">
        <v>0</v>
      </c>
      <c r="AO250" s="3"/>
      <c r="AP250" s="3"/>
    </row>
    <row r="251" spans="1:42">
      <c r="A251" s="4">
        <f>-SUM(J251:AN251)</f>
        <v>0</v>
      </c>
      <c r="B251" t="s">
        <v>298</v>
      </c>
      <c r="C251" t="s">
        <v>46</v>
      </c>
      <c r="D251"/>
      <c r="E251" s="3"/>
      <c r="F251" s="5">
        <v>0</v>
      </c>
      <c r="G251" s="4"/>
      <c r="I251">
        <f t="shared" si="3"/>
        <v>0</v>
      </c>
      <c r="M251">
        <v>0</v>
      </c>
      <c r="AO251" s="3"/>
      <c r="AP251" s="3"/>
    </row>
    <row r="252" spans="1:42">
      <c r="A252" s="4">
        <f>-SUM(J252:AN252)</f>
        <v>0</v>
      </c>
      <c r="B252" t="s">
        <v>299</v>
      </c>
      <c r="C252" t="s">
        <v>43</v>
      </c>
      <c r="D252"/>
      <c r="E252" s="3"/>
      <c r="F252" s="5">
        <v>0</v>
      </c>
      <c r="G252" s="4"/>
      <c r="I252">
        <f t="shared" si="3"/>
        <v>0</v>
      </c>
      <c r="M252">
        <v>0</v>
      </c>
      <c r="AO252" s="3"/>
      <c r="AP252" s="3"/>
    </row>
    <row r="253" spans="1:42">
      <c r="A253" s="4">
        <f>-SUM(J253:AN253)</f>
        <v>0</v>
      </c>
      <c r="B253" t="s">
        <v>300</v>
      </c>
      <c r="C253" t="s">
        <v>43</v>
      </c>
      <c r="D253"/>
      <c r="E253" s="3"/>
      <c r="F253" s="8">
        <v>55</v>
      </c>
      <c r="G253" s="4"/>
      <c r="I253">
        <f t="shared" si="3"/>
        <v>55</v>
      </c>
      <c r="M253">
        <v>0</v>
      </c>
      <c r="AO253" s="3"/>
      <c r="AP253" s="3"/>
    </row>
    <row r="254" spans="1:42">
      <c r="A254" s="4">
        <f>-SUM(J254:AN254)</f>
        <v>0</v>
      </c>
      <c r="B254" t="s">
        <v>301</v>
      </c>
      <c r="C254" t="s">
        <v>43</v>
      </c>
      <c r="D254"/>
      <c r="E254" s="3"/>
      <c r="F254" s="5">
        <v>123</v>
      </c>
      <c r="G254" s="4"/>
      <c r="I254">
        <f t="shared" si="3"/>
        <v>123</v>
      </c>
      <c r="M254">
        <v>0</v>
      </c>
      <c r="AO254" s="3"/>
      <c r="AP254" s="3"/>
    </row>
    <row r="255" spans="1:42">
      <c r="A255" s="4">
        <f>-SUM(J255:AN255)</f>
        <v>0</v>
      </c>
      <c r="B255" t="s">
        <v>302</v>
      </c>
      <c r="C255" t="s">
        <v>43</v>
      </c>
      <c r="D255"/>
      <c r="E255" s="3"/>
      <c r="F255" s="5">
        <v>53</v>
      </c>
      <c r="G255" s="4"/>
      <c r="I255">
        <f t="shared" si="3"/>
        <v>53</v>
      </c>
      <c r="M255">
        <v>0</v>
      </c>
      <c r="AO255" s="3"/>
      <c r="AP255" s="3"/>
    </row>
    <row r="256" spans="1:42">
      <c r="A256" s="4">
        <f>-SUM(J256:AN256)</f>
        <v>0</v>
      </c>
      <c r="B256" t="s">
        <v>303</v>
      </c>
      <c r="C256" t="s">
        <v>43</v>
      </c>
      <c r="D256"/>
      <c r="E256" s="3"/>
      <c r="F256" s="5">
        <v>26</v>
      </c>
      <c r="G256" s="4"/>
      <c r="I256">
        <f t="shared" si="3"/>
        <v>26</v>
      </c>
      <c r="M256">
        <v>0</v>
      </c>
      <c r="AO256" s="3"/>
      <c r="AP256" s="3"/>
    </row>
    <row r="257" spans="1:42">
      <c r="A257" s="4">
        <f>-SUM(J257:AN257)</f>
        <v>0</v>
      </c>
      <c r="B257" t="s">
        <v>304</v>
      </c>
      <c r="C257" t="s">
        <v>46</v>
      </c>
      <c r="D257"/>
      <c r="E257" s="3"/>
      <c r="F257" s="5">
        <v>0</v>
      </c>
      <c r="G257" s="4"/>
      <c r="I257">
        <f t="shared" si="3"/>
        <v>0</v>
      </c>
      <c r="M257">
        <v>0</v>
      </c>
      <c r="AO257" s="3"/>
      <c r="AP257" s="3"/>
    </row>
    <row r="258" spans="1:42">
      <c r="A258" s="4">
        <f>-SUM(J258:AN258)</f>
        <v>0</v>
      </c>
      <c r="B258" t="s">
        <v>305</v>
      </c>
      <c r="C258" t="s">
        <v>46</v>
      </c>
      <c r="D258" s="1"/>
      <c r="E258" s="3"/>
      <c r="F258" s="5">
        <v>0</v>
      </c>
      <c r="G258" s="4"/>
      <c r="I258">
        <f t="shared" ref="I258:I321" si="4">SUM(F258+G258-E258,J258:AN258)</f>
        <v>0</v>
      </c>
      <c r="M258">
        <v>0</v>
      </c>
      <c r="AO258" s="3"/>
      <c r="AP258" s="3"/>
    </row>
    <row r="259" spans="1:42">
      <c r="A259" s="4">
        <f>-SUM(J259:AN259)</f>
        <v>0</v>
      </c>
      <c r="B259" t="s">
        <v>306</v>
      </c>
      <c r="C259" t="s">
        <v>43</v>
      </c>
      <c r="D259" s="1">
        <v>46174</v>
      </c>
      <c r="E259" s="3"/>
      <c r="F259" s="5">
        <v>128</v>
      </c>
      <c r="G259" s="4"/>
      <c r="I259">
        <f t="shared" si="4"/>
        <v>128</v>
      </c>
      <c r="M259">
        <v>0</v>
      </c>
      <c r="AO259" s="3"/>
      <c r="AP259" s="3"/>
    </row>
    <row r="260" spans="1:42">
      <c r="A260" s="4">
        <f>-SUM(J260:AN260)</f>
        <v>0</v>
      </c>
      <c r="B260" t="s">
        <v>307</v>
      </c>
      <c r="E260" s="3"/>
      <c r="F260" s="8"/>
      <c r="G260" s="4"/>
      <c r="I260">
        <f t="shared" si="4"/>
        <v>0</v>
      </c>
      <c r="M260">
        <v>0</v>
      </c>
      <c r="AO260" s="3"/>
      <c r="AP260" s="3"/>
    </row>
    <row r="261" spans="1:42">
      <c r="A261" s="4">
        <f>-SUM(J261:AN261)</f>
        <v>0</v>
      </c>
      <c r="B261" t="s">
        <v>308</v>
      </c>
      <c r="E261" s="3"/>
      <c r="F261" s="8"/>
      <c r="G261" s="4"/>
      <c r="I261">
        <f t="shared" si="4"/>
        <v>0</v>
      </c>
      <c r="M261">
        <v>0</v>
      </c>
      <c r="AO261" s="3"/>
      <c r="AP261" s="3"/>
    </row>
    <row r="262" spans="1:42">
      <c r="A262" s="4">
        <f>-SUM(J262:AN262)</f>
        <v>0</v>
      </c>
      <c r="B262" t="s">
        <v>308</v>
      </c>
      <c r="E262" s="3"/>
      <c r="F262" s="8"/>
      <c r="G262" s="4"/>
      <c r="I262">
        <f t="shared" si="4"/>
        <v>0</v>
      </c>
      <c r="M262">
        <v>0</v>
      </c>
      <c r="AO262" s="3"/>
      <c r="AP262" s="3"/>
    </row>
    <row r="263" spans="1:42">
      <c r="A263" s="4">
        <f>-SUM(J263:AN263)</f>
        <v>0</v>
      </c>
      <c r="B263" t="s">
        <v>309</v>
      </c>
      <c r="C263" t="s">
        <v>46</v>
      </c>
      <c r="D263" s="1"/>
      <c r="E263" s="3"/>
      <c r="F263" s="5">
        <v>0</v>
      </c>
      <c r="G263" s="4"/>
      <c r="I263">
        <f t="shared" si="4"/>
        <v>0</v>
      </c>
      <c r="M263">
        <v>0</v>
      </c>
      <c r="AO263" s="3"/>
      <c r="AP263" s="3"/>
    </row>
    <row r="264" spans="1:42">
      <c r="A264" s="4">
        <f>-SUM(J264:AN264)</f>
        <v>0</v>
      </c>
      <c r="B264" t="s">
        <v>310</v>
      </c>
      <c r="E264" s="3"/>
      <c r="F264" s="8"/>
      <c r="G264" s="4"/>
      <c r="I264">
        <f t="shared" si="4"/>
        <v>0</v>
      </c>
      <c r="M264">
        <v>0</v>
      </c>
      <c r="AO264" s="3"/>
      <c r="AP264" s="3"/>
    </row>
    <row r="265" spans="1:42">
      <c r="A265" s="4">
        <f>-SUM(J265:AN265)</f>
        <v>0</v>
      </c>
      <c r="B265" t="s">
        <v>311</v>
      </c>
      <c r="C265" t="s">
        <v>82</v>
      </c>
      <c r="D265"/>
      <c r="E265" s="3"/>
      <c r="F265" s="5">
        <v>40</v>
      </c>
      <c r="G265" s="4"/>
      <c r="I265">
        <f t="shared" si="4"/>
        <v>40</v>
      </c>
      <c r="M265">
        <v>0</v>
      </c>
      <c r="AO265" s="3"/>
      <c r="AP265" s="3"/>
    </row>
    <row r="266" spans="1:42">
      <c r="A266" s="4">
        <f>-SUM(J266:AN266)</f>
        <v>0</v>
      </c>
      <c r="B266" t="s">
        <v>312</v>
      </c>
      <c r="C266" t="s">
        <v>46</v>
      </c>
      <c r="D266"/>
      <c r="E266" s="3"/>
      <c r="F266" s="5">
        <v>0</v>
      </c>
      <c r="G266" s="4"/>
      <c r="I266">
        <f t="shared" si="4"/>
        <v>0</v>
      </c>
      <c r="M266">
        <v>0</v>
      </c>
      <c r="AO266" s="3"/>
      <c r="AP266" s="3"/>
    </row>
    <row r="267" spans="1:42">
      <c r="A267" s="4">
        <f>-SUM(J267:AN267)</f>
        <v>0</v>
      </c>
      <c r="B267" t="s">
        <v>313</v>
      </c>
      <c r="C267" t="s">
        <v>82</v>
      </c>
      <c r="D267"/>
      <c r="E267" s="3"/>
      <c r="F267" s="5">
        <v>90</v>
      </c>
      <c r="G267" s="4"/>
      <c r="I267">
        <f t="shared" si="4"/>
        <v>90</v>
      </c>
      <c r="M267">
        <v>0</v>
      </c>
      <c r="AO267" s="3"/>
      <c r="AP267" s="3"/>
    </row>
    <row r="268" spans="1:42">
      <c r="A268" s="4">
        <f>-SUM(J268:AN268)</f>
        <v>0</v>
      </c>
      <c r="B268" t="s">
        <v>314</v>
      </c>
      <c r="C268" t="s">
        <v>46</v>
      </c>
      <c r="D268"/>
      <c r="E268" s="3"/>
      <c r="F268" s="5">
        <v>0</v>
      </c>
      <c r="G268" s="4"/>
      <c r="I268">
        <f t="shared" si="4"/>
        <v>0</v>
      </c>
      <c r="M268">
        <v>0</v>
      </c>
      <c r="AO268" s="3"/>
      <c r="AP268" s="3"/>
    </row>
    <row r="269" spans="1:42">
      <c r="A269" s="4">
        <f>-SUM(J269:AN269)</f>
        <v>0</v>
      </c>
      <c r="B269" t="s">
        <v>315</v>
      </c>
      <c r="C269" t="s">
        <v>82</v>
      </c>
      <c r="D269"/>
      <c r="E269" s="3"/>
      <c r="F269" s="5">
        <v>104</v>
      </c>
      <c r="G269" s="4"/>
      <c r="I269">
        <f t="shared" si="4"/>
        <v>104</v>
      </c>
      <c r="M269">
        <v>0</v>
      </c>
      <c r="AO269" s="3"/>
      <c r="AP269" s="3"/>
    </row>
    <row r="270" spans="1:42">
      <c r="A270" s="4">
        <f>-SUM(J270:AN270)</f>
        <v>0</v>
      </c>
      <c r="B270" t="s">
        <v>316</v>
      </c>
      <c r="C270" t="s">
        <v>46</v>
      </c>
      <c r="D270"/>
      <c r="E270" s="3"/>
      <c r="F270" s="5">
        <v>0</v>
      </c>
      <c r="G270" s="4"/>
      <c r="I270">
        <f t="shared" si="4"/>
        <v>0</v>
      </c>
      <c r="M270">
        <v>0</v>
      </c>
      <c r="AO270" s="3"/>
      <c r="AP270" s="3"/>
    </row>
    <row r="271" spans="1:42">
      <c r="A271" s="4">
        <f>-SUM(J271:AN271)</f>
        <v>0</v>
      </c>
      <c r="B271" t="s">
        <v>317</v>
      </c>
      <c r="D271"/>
      <c r="E271" s="3"/>
      <c r="F271" s="5">
        <v>81</v>
      </c>
      <c r="G271" s="4"/>
      <c r="I271">
        <f t="shared" si="4"/>
        <v>81</v>
      </c>
      <c r="M271">
        <v>0</v>
      </c>
      <c r="AO271" s="3"/>
      <c r="AP271" s="3"/>
    </row>
    <row r="272" spans="1:42">
      <c r="A272" s="4">
        <f>-SUM(J272:AN272)</f>
        <v>0</v>
      </c>
      <c r="B272" t="s">
        <v>318</v>
      </c>
      <c r="C272" t="s">
        <v>46</v>
      </c>
      <c r="D272"/>
      <c r="E272" s="3"/>
      <c r="F272" s="5">
        <v>0</v>
      </c>
      <c r="G272" s="4"/>
      <c r="I272">
        <f t="shared" si="4"/>
        <v>0</v>
      </c>
      <c r="M272">
        <v>0</v>
      </c>
      <c r="AO272" s="3"/>
      <c r="AP272" s="3"/>
    </row>
    <row r="273" spans="1:42">
      <c r="A273" s="4">
        <f>-SUM(J273:AN273)</f>
        <v>0</v>
      </c>
      <c r="B273" t="s">
        <v>319</v>
      </c>
      <c r="C273" t="s">
        <v>46</v>
      </c>
      <c r="D273"/>
      <c r="E273" s="3"/>
      <c r="F273" s="5">
        <v>0</v>
      </c>
      <c r="G273" s="4"/>
      <c r="I273">
        <f t="shared" si="4"/>
        <v>0</v>
      </c>
      <c r="M273">
        <v>0</v>
      </c>
      <c r="AO273" s="3"/>
      <c r="AP273" s="3"/>
    </row>
    <row r="274" spans="1:42">
      <c r="A274" s="4">
        <f>-SUM(J274:AN274)</f>
        <v>0</v>
      </c>
      <c r="B274" t="s">
        <v>320</v>
      </c>
      <c r="C274" t="s">
        <v>46</v>
      </c>
      <c r="D274"/>
      <c r="E274" s="3"/>
      <c r="F274" s="5">
        <v>0</v>
      </c>
      <c r="G274" s="4"/>
      <c r="I274">
        <f t="shared" si="4"/>
        <v>0</v>
      </c>
      <c r="M274">
        <v>0</v>
      </c>
      <c r="AO274" s="3"/>
      <c r="AP274" s="3"/>
    </row>
    <row r="275" spans="1:42">
      <c r="A275" s="4">
        <f>-SUM(J275:AN275)</f>
        <v>0</v>
      </c>
      <c r="B275" t="s">
        <v>321</v>
      </c>
      <c r="C275" t="s">
        <v>46</v>
      </c>
      <c r="D275"/>
      <c r="E275" s="3"/>
      <c r="F275" s="5">
        <v>0</v>
      </c>
      <c r="G275" s="4"/>
      <c r="I275">
        <f t="shared" si="4"/>
        <v>0</v>
      </c>
      <c r="M275">
        <v>0</v>
      </c>
      <c r="AO275" s="3"/>
      <c r="AP275" s="3"/>
    </row>
    <row r="276" spans="1:42">
      <c r="A276" s="4">
        <f>-SUM(J276:AN276)</f>
        <v>0</v>
      </c>
      <c r="B276" t="s">
        <v>322</v>
      </c>
      <c r="E276" s="3"/>
      <c r="F276" s="8"/>
      <c r="G276" s="4"/>
      <c r="I276">
        <f t="shared" si="4"/>
        <v>0</v>
      </c>
      <c r="M276">
        <v>0</v>
      </c>
      <c r="AO276" s="3"/>
      <c r="AP276" s="3"/>
    </row>
    <row r="277" spans="1:42">
      <c r="A277" s="4">
        <f>-SUM(J277:AN277)</f>
        <v>0</v>
      </c>
      <c r="B277" t="s">
        <v>323</v>
      </c>
      <c r="C277" t="s">
        <v>46</v>
      </c>
      <c r="D277"/>
      <c r="E277" s="3"/>
      <c r="F277" s="5">
        <v>0</v>
      </c>
      <c r="G277" s="4"/>
      <c r="I277">
        <f t="shared" si="4"/>
        <v>0</v>
      </c>
      <c r="M277">
        <v>0</v>
      </c>
      <c r="AO277" s="3"/>
      <c r="AP277" s="3"/>
    </row>
    <row r="278" spans="1:42">
      <c r="A278" s="4">
        <f>-SUM(J278:AN278)</f>
        <v>0</v>
      </c>
      <c r="B278" t="s">
        <v>324</v>
      </c>
      <c r="C278" t="s">
        <v>43</v>
      </c>
      <c r="D278"/>
      <c r="E278" s="3"/>
      <c r="F278" s="5">
        <v>18</v>
      </c>
      <c r="G278" s="4"/>
      <c r="I278">
        <f t="shared" si="4"/>
        <v>18</v>
      </c>
      <c r="M278">
        <v>0</v>
      </c>
      <c r="AO278" s="3"/>
      <c r="AP278" s="3"/>
    </row>
    <row r="279" spans="1:42">
      <c r="A279" s="4">
        <f>-SUM(J279:AN279)</f>
        <v>0</v>
      </c>
      <c r="B279" t="s">
        <v>325</v>
      </c>
      <c r="C279" t="s">
        <v>43</v>
      </c>
      <c r="D279" s="1">
        <v>46023</v>
      </c>
      <c r="E279" s="3"/>
      <c r="F279" s="5">
        <v>22</v>
      </c>
      <c r="G279" s="4"/>
      <c r="I279">
        <f t="shared" si="4"/>
        <v>22</v>
      </c>
      <c r="M279">
        <v>0</v>
      </c>
      <c r="AO279" s="3"/>
      <c r="AP279" s="3"/>
    </row>
    <row r="280" spans="1:42">
      <c r="A280" s="4">
        <f>-SUM(J280:AN280)</f>
        <v>0</v>
      </c>
      <c r="B280" t="s">
        <v>326</v>
      </c>
      <c r="C280" t="s">
        <v>46</v>
      </c>
      <c r="D280" s="1"/>
      <c r="E280" s="3"/>
      <c r="F280" s="5">
        <v>0</v>
      </c>
      <c r="G280" s="4"/>
      <c r="I280">
        <f t="shared" si="4"/>
        <v>0</v>
      </c>
      <c r="M280">
        <v>0</v>
      </c>
      <c r="AO280" s="3"/>
      <c r="AP280" s="3"/>
    </row>
    <row r="281" spans="1:42">
      <c r="A281" s="4">
        <f>-SUM(J281:AN281)</f>
        <v>0</v>
      </c>
      <c r="B281" t="s">
        <v>327</v>
      </c>
      <c r="C281" t="s">
        <v>46</v>
      </c>
      <c r="D281" s="1"/>
      <c r="E281" s="3"/>
      <c r="F281" s="5">
        <v>0</v>
      </c>
      <c r="G281" s="4"/>
      <c r="I281">
        <f t="shared" si="4"/>
        <v>0</v>
      </c>
      <c r="M281">
        <v>0</v>
      </c>
      <c r="AO281" s="3"/>
      <c r="AP281" s="3"/>
    </row>
    <row r="282" spans="1:42">
      <c r="A282" s="4">
        <f>-SUM(J282:AN282)</f>
        <v>0</v>
      </c>
      <c r="B282" t="s">
        <v>328</v>
      </c>
      <c r="C282" t="s">
        <v>43</v>
      </c>
      <c r="D282"/>
      <c r="E282" s="3"/>
      <c r="F282" s="5">
        <v>0</v>
      </c>
      <c r="G282" s="4"/>
      <c r="I282">
        <f t="shared" si="4"/>
        <v>0</v>
      </c>
      <c r="M282">
        <v>0</v>
      </c>
      <c r="AO282" s="3"/>
      <c r="AP282" s="3"/>
    </row>
    <row r="283" spans="1:42">
      <c r="A283" s="4">
        <f>-SUM(J283:AN283)</f>
        <v>0</v>
      </c>
      <c r="B283" t="s">
        <v>329</v>
      </c>
      <c r="C283" t="s">
        <v>46</v>
      </c>
      <c r="D283"/>
      <c r="E283" s="3"/>
      <c r="F283" s="5">
        <v>0</v>
      </c>
      <c r="G283" s="4"/>
      <c r="I283">
        <f t="shared" si="4"/>
        <v>0</v>
      </c>
      <c r="M283">
        <v>0</v>
      </c>
      <c r="AO283" s="3"/>
      <c r="AP283" s="3"/>
    </row>
    <row r="284" spans="1:42">
      <c r="A284" s="4">
        <f>-SUM(J284:AN284)</f>
        <v>0</v>
      </c>
      <c r="B284" t="s">
        <v>330</v>
      </c>
      <c r="C284" t="s">
        <v>43</v>
      </c>
      <c r="D284"/>
      <c r="E284" s="3"/>
      <c r="F284" s="5">
        <v>22</v>
      </c>
      <c r="G284" s="4"/>
      <c r="I284">
        <f t="shared" si="4"/>
        <v>22</v>
      </c>
      <c r="M284">
        <v>0</v>
      </c>
      <c r="AO284" s="3"/>
      <c r="AP284" s="3"/>
    </row>
    <row r="285" spans="1:42">
      <c r="A285" s="4">
        <f>-SUM(J285:AN285)</f>
        <v>0</v>
      </c>
      <c r="B285" t="s">
        <v>331</v>
      </c>
      <c r="E285" s="3"/>
      <c r="F285" s="8"/>
      <c r="G285" s="4"/>
      <c r="I285">
        <f t="shared" si="4"/>
        <v>0</v>
      </c>
      <c r="M285">
        <v>0</v>
      </c>
      <c r="AO285" s="3"/>
      <c r="AP285" s="3"/>
    </row>
    <row r="286" spans="1:42">
      <c r="A286" s="4">
        <f>-SUM(J286:AN286)</f>
        <v>0</v>
      </c>
      <c r="B286" t="s">
        <v>332</v>
      </c>
      <c r="C286" t="s">
        <v>43</v>
      </c>
      <c r="D286"/>
      <c r="E286" s="3"/>
      <c r="F286" s="5">
        <v>2</v>
      </c>
      <c r="G286" s="4"/>
      <c r="I286">
        <f t="shared" si="4"/>
        <v>2</v>
      </c>
      <c r="M286">
        <v>0</v>
      </c>
      <c r="AO286" s="3"/>
      <c r="AP286" s="3"/>
    </row>
    <row r="287" spans="1:42">
      <c r="A287" s="4">
        <f>-SUM(J287:AN287)</f>
        <v>0</v>
      </c>
      <c r="B287" t="s">
        <v>333</v>
      </c>
      <c r="E287" s="3"/>
      <c r="F287" s="8"/>
      <c r="G287" s="4"/>
      <c r="I287">
        <f t="shared" si="4"/>
        <v>0</v>
      </c>
      <c r="M287">
        <v>0</v>
      </c>
      <c r="AO287" s="3"/>
      <c r="AP287" s="3"/>
    </row>
    <row r="288" spans="1:42">
      <c r="A288" s="4">
        <f>-SUM(J288:AN288)</f>
        <v>0</v>
      </c>
      <c r="B288" t="s">
        <v>334</v>
      </c>
      <c r="C288" t="s">
        <v>43</v>
      </c>
      <c r="D288" s="1">
        <v>46082</v>
      </c>
      <c r="E288" s="3"/>
      <c r="F288" s="5">
        <v>30</v>
      </c>
      <c r="G288" s="4"/>
      <c r="I288">
        <f t="shared" si="4"/>
        <v>30</v>
      </c>
      <c r="M288">
        <v>0</v>
      </c>
      <c r="AO288" s="3"/>
      <c r="AP288" s="3"/>
    </row>
    <row r="289" spans="1:42">
      <c r="A289" s="4">
        <f>-SUM(J289:AN289)</f>
        <v>0</v>
      </c>
      <c r="B289" t="s">
        <v>335</v>
      </c>
      <c r="E289" s="3"/>
      <c r="F289" s="8"/>
      <c r="G289" s="4"/>
      <c r="I289">
        <f t="shared" si="4"/>
        <v>0</v>
      </c>
      <c r="M289">
        <v>0</v>
      </c>
      <c r="AO289" s="3"/>
      <c r="AP289" s="3"/>
    </row>
    <row r="290" spans="1:42">
      <c r="A290" s="4">
        <f>-SUM(J290:AN290)</f>
        <v>0</v>
      </c>
      <c r="B290" t="s">
        <v>336</v>
      </c>
      <c r="C290" t="s">
        <v>46</v>
      </c>
      <c r="D290"/>
      <c r="E290" s="3"/>
      <c r="F290" s="5">
        <v>0</v>
      </c>
      <c r="G290" s="4"/>
      <c r="I290">
        <f t="shared" si="4"/>
        <v>0</v>
      </c>
      <c r="M290">
        <v>0</v>
      </c>
      <c r="AO290" s="3"/>
      <c r="AP290" s="3"/>
    </row>
    <row r="291" spans="1:42">
      <c r="A291" s="4">
        <f>-SUM(J291:AN291)</f>
        <v>0</v>
      </c>
      <c r="B291" t="s">
        <v>337</v>
      </c>
      <c r="C291" t="s">
        <v>46</v>
      </c>
      <c r="D291"/>
      <c r="E291" s="3"/>
      <c r="F291" s="5">
        <v>0</v>
      </c>
      <c r="G291" s="4"/>
      <c r="I291">
        <f t="shared" si="4"/>
        <v>0</v>
      </c>
      <c r="M291">
        <v>0</v>
      </c>
      <c r="AO291" s="3"/>
      <c r="AP291" s="3"/>
    </row>
    <row r="292" spans="1:42">
      <c r="A292" s="4">
        <f>-SUM(J292:AN292)</f>
        <v>0</v>
      </c>
      <c r="B292" t="s">
        <v>338</v>
      </c>
      <c r="C292" t="s">
        <v>46</v>
      </c>
      <c r="D292"/>
      <c r="E292" s="3"/>
      <c r="F292" s="5">
        <v>0</v>
      </c>
      <c r="G292" s="4"/>
      <c r="I292">
        <f t="shared" si="4"/>
        <v>0</v>
      </c>
      <c r="M292">
        <v>0</v>
      </c>
      <c r="AO292" s="3"/>
      <c r="AP292" s="3"/>
    </row>
    <row r="293" spans="1:42">
      <c r="A293" s="4">
        <f>-SUM(J293:AN293)</f>
        <v>0</v>
      </c>
      <c r="B293" t="s">
        <v>339</v>
      </c>
      <c r="C293" t="s">
        <v>46</v>
      </c>
      <c r="D293"/>
      <c r="E293" s="3"/>
      <c r="F293" s="5">
        <v>0</v>
      </c>
      <c r="G293" s="4"/>
      <c r="I293">
        <f t="shared" si="4"/>
        <v>0</v>
      </c>
      <c r="M293">
        <v>0</v>
      </c>
      <c r="AO293" s="3"/>
      <c r="AP293" s="3"/>
    </row>
    <row r="294" spans="1:42">
      <c r="A294" s="4">
        <f>-SUM(J294:AN294)</f>
        <v>0</v>
      </c>
      <c r="B294" t="s">
        <v>340</v>
      </c>
      <c r="C294" t="s">
        <v>46</v>
      </c>
      <c r="D294"/>
      <c r="E294" s="3"/>
      <c r="F294" s="5">
        <v>0</v>
      </c>
      <c r="G294" s="4"/>
      <c r="I294">
        <f t="shared" si="4"/>
        <v>0</v>
      </c>
      <c r="M294">
        <v>0</v>
      </c>
      <c r="AO294" s="3"/>
      <c r="AP294" s="3"/>
    </row>
    <row r="295" spans="1:42">
      <c r="A295" s="4">
        <f>-SUM(J295:AN295)</f>
        <v>0</v>
      </c>
      <c r="B295" t="s">
        <v>341</v>
      </c>
      <c r="C295" t="s">
        <v>54</v>
      </c>
      <c r="D295"/>
      <c r="E295" s="3"/>
      <c r="F295" s="5">
        <v>4</v>
      </c>
      <c r="G295" s="4"/>
      <c r="I295">
        <f t="shared" si="4"/>
        <v>4</v>
      </c>
      <c r="M295">
        <v>0</v>
      </c>
      <c r="AO295" s="3"/>
      <c r="AP295" s="3"/>
    </row>
    <row r="296" spans="1:42">
      <c r="A296" s="4">
        <f>-SUM(J296:AN296)</f>
        <v>0</v>
      </c>
      <c r="B296" t="s">
        <v>342</v>
      </c>
      <c r="C296" t="s">
        <v>46</v>
      </c>
      <c r="D296"/>
      <c r="E296" s="3"/>
      <c r="F296" s="8">
        <v>0</v>
      </c>
      <c r="G296" s="4"/>
      <c r="I296">
        <f t="shared" si="4"/>
        <v>0</v>
      </c>
      <c r="M296">
        <v>0</v>
      </c>
      <c r="AO296" s="3"/>
      <c r="AP296" s="3"/>
    </row>
    <row r="297" spans="1:42">
      <c r="A297" s="4">
        <f>-SUM(J297:AN297)</f>
        <v>0</v>
      </c>
      <c r="B297" t="s">
        <v>343</v>
      </c>
      <c r="C297" t="s">
        <v>46</v>
      </c>
      <c r="D297"/>
      <c r="E297" s="3"/>
      <c r="F297" s="8">
        <v>0</v>
      </c>
      <c r="G297" s="4"/>
      <c r="I297">
        <f t="shared" si="4"/>
        <v>0</v>
      </c>
      <c r="M297">
        <v>0</v>
      </c>
      <c r="AO297" s="3"/>
      <c r="AP297" s="3"/>
    </row>
    <row r="298" spans="1:42">
      <c r="A298" s="4">
        <f>-SUM(J298:AN298)</f>
        <v>0</v>
      </c>
      <c r="B298" t="s">
        <v>344</v>
      </c>
      <c r="C298" t="s">
        <v>46</v>
      </c>
      <c r="D298"/>
      <c r="E298" s="3"/>
      <c r="F298" s="8">
        <v>0</v>
      </c>
      <c r="G298" s="4"/>
      <c r="I298">
        <f t="shared" si="4"/>
        <v>0</v>
      </c>
      <c r="M298">
        <v>0</v>
      </c>
      <c r="AO298" s="3"/>
      <c r="AP298" s="3"/>
    </row>
    <row r="299" spans="1:42">
      <c r="A299" s="4">
        <f>-SUM(J299:AN299)</f>
        <v>0</v>
      </c>
      <c r="B299" t="s">
        <v>345</v>
      </c>
      <c r="E299" s="3"/>
      <c r="F299" s="8"/>
      <c r="G299" s="4"/>
      <c r="I299">
        <f t="shared" si="4"/>
        <v>0</v>
      </c>
      <c r="M299">
        <v>0</v>
      </c>
      <c r="AO299" s="3"/>
      <c r="AP299" s="3"/>
    </row>
    <row r="300" spans="1:42">
      <c r="A300" s="4">
        <f>-SUM(J300:AN300)</f>
        <v>0</v>
      </c>
      <c r="B300" t="s">
        <v>346</v>
      </c>
      <c r="C300" t="s">
        <v>46</v>
      </c>
      <c r="D300" s="1"/>
      <c r="E300" s="3"/>
      <c r="F300" s="5">
        <v>0</v>
      </c>
      <c r="G300" s="4"/>
      <c r="I300">
        <f t="shared" si="4"/>
        <v>0</v>
      </c>
      <c r="M300">
        <v>0</v>
      </c>
      <c r="AO300" s="3"/>
      <c r="AP300" s="3"/>
    </row>
    <row r="301" spans="1:42">
      <c r="A301" s="4">
        <f>-SUM(J301:AN301)</f>
        <v>0</v>
      </c>
      <c r="B301" t="s">
        <v>347</v>
      </c>
      <c r="C301" t="s">
        <v>54</v>
      </c>
      <c r="D301"/>
      <c r="E301" s="3"/>
      <c r="F301" s="5">
        <v>139</v>
      </c>
      <c r="G301" s="4"/>
      <c r="I301">
        <f t="shared" si="4"/>
        <v>139</v>
      </c>
      <c r="M301">
        <v>0</v>
      </c>
      <c r="AO301" s="3"/>
      <c r="AP301" s="3"/>
    </row>
    <row r="302" spans="1:42">
      <c r="A302" s="4">
        <f>-SUM(J302:AN302)</f>
        <v>0</v>
      </c>
      <c r="B302" t="s">
        <v>348</v>
      </c>
      <c r="C302" t="s">
        <v>43</v>
      </c>
      <c r="D302"/>
      <c r="E302" s="3"/>
      <c r="F302" s="5">
        <v>2165</v>
      </c>
      <c r="G302" s="4"/>
      <c r="I302">
        <f t="shared" si="4"/>
        <v>2165</v>
      </c>
      <c r="M302">
        <v>0</v>
      </c>
      <c r="AO302" s="3"/>
      <c r="AP302" s="3"/>
    </row>
    <row r="303" spans="1:42">
      <c r="A303" s="4">
        <f>-SUM(J303:AN303)</f>
        <v>0</v>
      </c>
      <c r="B303" t="s">
        <v>349</v>
      </c>
      <c r="C303" t="s">
        <v>46</v>
      </c>
      <c r="D303"/>
      <c r="E303" s="3"/>
      <c r="F303" s="5">
        <v>0</v>
      </c>
      <c r="G303" s="4"/>
      <c r="I303">
        <f t="shared" si="4"/>
        <v>0</v>
      </c>
      <c r="M303">
        <v>0</v>
      </c>
      <c r="AO303" s="3"/>
      <c r="AP303" s="3"/>
    </row>
    <row r="304" spans="1:42">
      <c r="A304" s="4">
        <f>-SUM(J304:AN304)</f>
        <v>0</v>
      </c>
      <c r="B304" t="s">
        <v>350</v>
      </c>
      <c r="C304" t="s">
        <v>43</v>
      </c>
      <c r="D304"/>
      <c r="E304" s="3"/>
      <c r="F304" s="5">
        <v>24</v>
      </c>
      <c r="G304" s="4"/>
      <c r="I304">
        <f t="shared" si="4"/>
        <v>24</v>
      </c>
      <c r="M304">
        <v>0</v>
      </c>
      <c r="AO304" s="3"/>
      <c r="AP304" s="3"/>
    </row>
    <row r="305" spans="1:42">
      <c r="A305" s="4">
        <f>-SUM(J305:AN305)</f>
        <v>0</v>
      </c>
      <c r="B305" t="s">
        <v>351</v>
      </c>
      <c r="C305" t="s">
        <v>43</v>
      </c>
      <c r="D305"/>
      <c r="E305" s="3"/>
      <c r="F305" s="5">
        <v>1075</v>
      </c>
      <c r="G305" s="4"/>
      <c r="I305">
        <f t="shared" si="4"/>
        <v>1075</v>
      </c>
      <c r="M305">
        <v>0</v>
      </c>
      <c r="AO305" s="3"/>
      <c r="AP305" s="3"/>
    </row>
    <row r="306" spans="1:42">
      <c r="A306" s="4">
        <f>-SUM(J306:AN306)</f>
        <v>0</v>
      </c>
      <c r="B306" t="s">
        <v>352</v>
      </c>
      <c r="E306" s="3"/>
      <c r="F306" s="8"/>
      <c r="G306" s="4"/>
      <c r="I306">
        <f t="shared" si="4"/>
        <v>0</v>
      </c>
      <c r="M306">
        <v>0</v>
      </c>
      <c r="AO306" s="3"/>
      <c r="AP306" s="3"/>
    </row>
    <row r="307" spans="1:42">
      <c r="A307" s="4">
        <f>-SUM(J307:AN307)</f>
        <v>0</v>
      </c>
      <c r="B307" t="s">
        <v>353</v>
      </c>
      <c r="C307" t="s">
        <v>43</v>
      </c>
      <c r="D307"/>
      <c r="E307" s="3"/>
      <c r="F307" s="5">
        <v>6</v>
      </c>
      <c r="G307" s="4"/>
      <c r="I307">
        <f t="shared" si="4"/>
        <v>6</v>
      </c>
      <c r="M307">
        <v>0</v>
      </c>
      <c r="AO307" s="3"/>
      <c r="AP307" s="3"/>
    </row>
    <row r="308" spans="1:42">
      <c r="A308" s="4">
        <f>-SUM(J308:AN308)</f>
        <v>0</v>
      </c>
      <c r="B308" t="s">
        <v>354</v>
      </c>
      <c r="C308" t="s">
        <v>43</v>
      </c>
      <c r="D308"/>
      <c r="E308" s="3"/>
      <c r="F308" s="5">
        <v>40</v>
      </c>
      <c r="G308" s="4"/>
      <c r="I308">
        <f t="shared" si="4"/>
        <v>40</v>
      </c>
      <c r="M308">
        <v>0</v>
      </c>
      <c r="AO308" s="3"/>
      <c r="AP308" s="3"/>
    </row>
    <row r="309" spans="1:42">
      <c r="A309" s="4">
        <f>-SUM(J309:AN309)</f>
        <v>0</v>
      </c>
      <c r="B309" t="s">
        <v>355</v>
      </c>
      <c r="C309" t="s">
        <v>43</v>
      </c>
      <c r="D309"/>
      <c r="E309" s="3"/>
      <c r="F309" s="5">
        <v>32</v>
      </c>
      <c r="G309" s="4"/>
      <c r="I309">
        <f t="shared" si="4"/>
        <v>32</v>
      </c>
      <c r="M309">
        <v>0</v>
      </c>
      <c r="AO309" s="3"/>
      <c r="AP309" s="3"/>
    </row>
    <row r="310" spans="1:42">
      <c r="A310" s="4">
        <f>-SUM(J310:AN310)</f>
        <v>0</v>
      </c>
      <c r="B310" t="s">
        <v>356</v>
      </c>
      <c r="C310" t="s">
        <v>43</v>
      </c>
      <c r="D310"/>
      <c r="E310" s="3"/>
      <c r="F310" s="5">
        <v>6</v>
      </c>
      <c r="G310" s="4"/>
      <c r="I310">
        <f t="shared" si="4"/>
        <v>6</v>
      </c>
      <c r="M310">
        <v>0</v>
      </c>
      <c r="AO310" s="3"/>
      <c r="AP310" s="3"/>
    </row>
    <row r="311" spans="1:42">
      <c r="A311" s="4">
        <f>-SUM(J311:AN311)</f>
        <v>0</v>
      </c>
      <c r="B311" t="s">
        <v>357</v>
      </c>
      <c r="C311" t="s">
        <v>43</v>
      </c>
      <c r="D311"/>
      <c r="E311" s="3"/>
      <c r="F311" s="5">
        <v>10</v>
      </c>
      <c r="G311" s="4"/>
      <c r="I311">
        <f t="shared" si="4"/>
        <v>10</v>
      </c>
      <c r="M311">
        <v>0</v>
      </c>
      <c r="AO311" s="3"/>
      <c r="AP311" s="3"/>
    </row>
    <row r="312" spans="1:42">
      <c r="A312" s="4">
        <f>-SUM(J312:AN312)</f>
        <v>0</v>
      </c>
      <c r="B312" t="s">
        <v>358</v>
      </c>
      <c r="C312" t="s">
        <v>46</v>
      </c>
      <c r="D312"/>
      <c r="E312" s="3"/>
      <c r="F312" s="5">
        <v>0</v>
      </c>
      <c r="G312" s="4"/>
      <c r="I312">
        <f t="shared" si="4"/>
        <v>0</v>
      </c>
      <c r="M312">
        <v>0</v>
      </c>
      <c r="AO312" s="3"/>
      <c r="AP312" s="3"/>
    </row>
    <row r="313" spans="1:42">
      <c r="A313" s="4">
        <f>-SUM(J313:AN313)</f>
        <v>0</v>
      </c>
      <c r="B313" t="s">
        <v>359</v>
      </c>
      <c r="C313" t="s">
        <v>43</v>
      </c>
      <c r="D313"/>
      <c r="E313" s="3"/>
      <c r="F313" s="5">
        <v>6</v>
      </c>
      <c r="G313" s="4"/>
      <c r="I313">
        <f t="shared" si="4"/>
        <v>6</v>
      </c>
      <c r="M313">
        <v>0</v>
      </c>
      <c r="AO313" s="3"/>
      <c r="AP313" s="3"/>
    </row>
    <row r="314" spans="1:42">
      <c r="A314" s="4">
        <f>-SUM(J314:AN314)</f>
        <v>0</v>
      </c>
      <c r="B314" t="s">
        <v>360</v>
      </c>
      <c r="C314" t="s">
        <v>43</v>
      </c>
      <c r="D314"/>
      <c r="E314" s="3"/>
      <c r="F314" s="5">
        <v>6</v>
      </c>
      <c r="G314" s="4"/>
      <c r="I314">
        <f t="shared" si="4"/>
        <v>6</v>
      </c>
      <c r="M314">
        <v>0</v>
      </c>
      <c r="AO314" s="3"/>
      <c r="AP314" s="3"/>
    </row>
    <row r="315" spans="1:42">
      <c r="A315" s="4">
        <f>-SUM(J315:AN315)</f>
        <v>0</v>
      </c>
      <c r="B315" t="s">
        <v>361</v>
      </c>
      <c r="E315" s="3"/>
      <c r="F315" s="8"/>
      <c r="G315" s="4"/>
      <c r="I315">
        <f t="shared" si="4"/>
        <v>0</v>
      </c>
      <c r="M315">
        <v>0</v>
      </c>
      <c r="AO315" s="3"/>
      <c r="AP315" s="3"/>
    </row>
    <row r="316" spans="1:42">
      <c r="A316" s="4">
        <f>-SUM(J316:AN316)</f>
        <v>0</v>
      </c>
      <c r="B316" t="s">
        <v>362</v>
      </c>
      <c r="E316" s="3"/>
      <c r="F316" s="8"/>
      <c r="G316" s="4"/>
      <c r="I316">
        <f t="shared" si="4"/>
        <v>0</v>
      </c>
      <c r="M316">
        <v>0</v>
      </c>
      <c r="AO316" s="3"/>
      <c r="AP316" s="3"/>
    </row>
    <row r="317" spans="1:42">
      <c r="A317" s="4">
        <f>-SUM(J317:AN317)</f>
        <v>0</v>
      </c>
      <c r="B317" t="s">
        <v>363</v>
      </c>
      <c r="E317" s="3"/>
      <c r="F317" s="8"/>
      <c r="G317" s="4"/>
      <c r="I317">
        <f t="shared" si="4"/>
        <v>0</v>
      </c>
      <c r="M317">
        <v>0</v>
      </c>
      <c r="AO317" s="3"/>
      <c r="AP317" s="3"/>
    </row>
    <row r="318" spans="1:42">
      <c r="A318" s="4">
        <f>-SUM(J318:AN318)</f>
        <v>0</v>
      </c>
      <c r="B318" t="s">
        <v>364</v>
      </c>
      <c r="E318" s="3"/>
      <c r="F318" s="8"/>
      <c r="G318" s="4"/>
      <c r="I318">
        <f t="shared" si="4"/>
        <v>0</v>
      </c>
      <c r="M318">
        <v>0</v>
      </c>
      <c r="AO318" s="3"/>
      <c r="AP318" s="3"/>
    </row>
    <row r="319" spans="1:42">
      <c r="A319" s="4">
        <f>-SUM(J319:AN319)</f>
        <v>0</v>
      </c>
      <c r="B319" t="s">
        <v>365</v>
      </c>
      <c r="E319" s="3"/>
      <c r="F319" s="8"/>
      <c r="G319" s="4"/>
      <c r="I319">
        <f t="shared" si="4"/>
        <v>0</v>
      </c>
      <c r="M319">
        <v>0</v>
      </c>
      <c r="AO319" s="3"/>
      <c r="AP319" s="3"/>
    </row>
    <row r="320" spans="1:42">
      <c r="A320" s="4">
        <f>-SUM(J320:AN320)</f>
        <v>0</v>
      </c>
      <c r="B320" t="s">
        <v>366</v>
      </c>
      <c r="E320" s="3"/>
      <c r="F320" s="8"/>
      <c r="G320" s="4"/>
      <c r="I320">
        <f t="shared" si="4"/>
        <v>0</v>
      </c>
      <c r="M320">
        <v>0</v>
      </c>
      <c r="AO320" s="3"/>
      <c r="AP320" s="3"/>
    </row>
    <row r="321" spans="1:42">
      <c r="A321" s="4">
        <f>-SUM(J321:AN321)</f>
        <v>0</v>
      </c>
      <c r="B321" t="s">
        <v>367</v>
      </c>
      <c r="C321" t="s">
        <v>54</v>
      </c>
      <c r="D321"/>
      <c r="E321" s="3"/>
      <c r="F321" s="5">
        <v>6309</v>
      </c>
      <c r="G321" s="4"/>
      <c r="I321">
        <f t="shared" si="4"/>
        <v>6309</v>
      </c>
      <c r="M321">
        <v>0</v>
      </c>
      <c r="AO321" s="3"/>
      <c r="AP321" s="3"/>
    </row>
    <row r="322" spans="1:42">
      <c r="A322" s="4">
        <f>-SUM(J322:AN322)</f>
        <v>0</v>
      </c>
      <c r="B322" t="s">
        <v>368</v>
      </c>
      <c r="C322" t="s">
        <v>54</v>
      </c>
      <c r="D322"/>
      <c r="E322" s="3"/>
      <c r="F322" s="5">
        <v>167</v>
      </c>
      <c r="G322" s="4"/>
      <c r="I322">
        <f t="shared" ref="I322:I385" si="5">SUM(F322+G322-E322,J322:AN322)</f>
        <v>167</v>
      </c>
      <c r="M322">
        <v>0</v>
      </c>
      <c r="AO322" s="3"/>
      <c r="AP322" s="3"/>
    </row>
    <row r="323" spans="1:42">
      <c r="A323" s="4">
        <f>-SUM(J323:AN323)</f>
        <v>0</v>
      </c>
      <c r="B323" t="s">
        <v>369</v>
      </c>
      <c r="C323" t="s">
        <v>54</v>
      </c>
      <c r="D323"/>
      <c r="E323" s="3"/>
      <c r="F323" s="5">
        <v>562</v>
      </c>
      <c r="G323" s="4"/>
      <c r="I323">
        <f t="shared" si="5"/>
        <v>562</v>
      </c>
      <c r="M323">
        <v>0</v>
      </c>
      <c r="AO323" s="3"/>
      <c r="AP323" s="3"/>
    </row>
    <row r="324" spans="1:42">
      <c r="A324" s="4">
        <f>-SUM(J324:AN324)</f>
        <v>0</v>
      </c>
      <c r="B324" t="s">
        <v>370</v>
      </c>
      <c r="C324" t="s">
        <v>54</v>
      </c>
      <c r="D324"/>
      <c r="E324" s="3"/>
      <c r="F324" s="5">
        <v>489</v>
      </c>
      <c r="G324" s="4"/>
      <c r="I324">
        <f t="shared" si="5"/>
        <v>489</v>
      </c>
      <c r="M324">
        <v>0</v>
      </c>
      <c r="AO324" s="3"/>
      <c r="AP324" s="3"/>
    </row>
    <row r="325" spans="1:42">
      <c r="A325" s="4">
        <f>-SUM(J325:AN325)</f>
        <v>0</v>
      </c>
      <c r="B325" t="s">
        <v>371</v>
      </c>
      <c r="E325" s="3"/>
      <c r="F325" s="8"/>
      <c r="G325" s="4"/>
      <c r="I325">
        <f t="shared" si="5"/>
        <v>0</v>
      </c>
      <c r="M325">
        <v>0</v>
      </c>
      <c r="AO325" s="3"/>
      <c r="AP325" s="3"/>
    </row>
    <row r="326" spans="1:42">
      <c r="A326" s="4">
        <f>-SUM(J326:AN326)</f>
        <v>0</v>
      </c>
      <c r="B326" t="s">
        <v>372</v>
      </c>
      <c r="E326" s="3"/>
      <c r="F326" s="8"/>
      <c r="G326" s="4"/>
      <c r="I326">
        <f t="shared" si="5"/>
        <v>0</v>
      </c>
      <c r="M326">
        <v>0</v>
      </c>
      <c r="AO326" s="3"/>
      <c r="AP326" s="3"/>
    </row>
    <row r="327" spans="1:42">
      <c r="A327" s="4">
        <f>-SUM(J327:AN327)</f>
        <v>0</v>
      </c>
      <c r="B327" t="s">
        <v>373</v>
      </c>
      <c r="E327" s="3"/>
      <c r="F327" s="8"/>
      <c r="G327" s="4"/>
      <c r="I327">
        <f t="shared" si="5"/>
        <v>0</v>
      </c>
      <c r="M327">
        <v>0</v>
      </c>
      <c r="AO327" s="3"/>
      <c r="AP327" s="3"/>
    </row>
    <row r="328" spans="1:42">
      <c r="A328" s="4">
        <f>-SUM(J328:AN328)</f>
        <v>0</v>
      </c>
      <c r="B328" t="s">
        <v>374</v>
      </c>
      <c r="C328" t="s">
        <v>43</v>
      </c>
      <c r="D328"/>
      <c r="E328" s="3"/>
      <c r="F328" s="5">
        <v>2248</v>
      </c>
      <c r="G328" s="4"/>
      <c r="I328">
        <f t="shared" si="5"/>
        <v>2248</v>
      </c>
      <c r="M328">
        <v>0</v>
      </c>
      <c r="AO328" s="3"/>
      <c r="AP328" s="3"/>
    </row>
    <row r="329" spans="1:42">
      <c r="A329" s="4">
        <f>-SUM(J329:AN329)</f>
        <v>0</v>
      </c>
      <c r="B329" t="s">
        <v>375</v>
      </c>
      <c r="C329" t="s">
        <v>43</v>
      </c>
      <c r="D329"/>
      <c r="E329" s="3"/>
      <c r="F329" s="5">
        <v>1574</v>
      </c>
      <c r="G329" s="4"/>
      <c r="I329">
        <f t="shared" si="5"/>
        <v>1574</v>
      </c>
      <c r="M329">
        <v>0</v>
      </c>
      <c r="AO329" s="3"/>
      <c r="AP329" s="3"/>
    </row>
    <row r="330" spans="1:42">
      <c r="A330" s="4">
        <f>-SUM(J330:AN330)</f>
        <v>0</v>
      </c>
      <c r="B330" t="s">
        <v>376</v>
      </c>
      <c r="C330" t="s">
        <v>43</v>
      </c>
      <c r="D330"/>
      <c r="E330" s="3"/>
      <c r="F330" s="5">
        <v>1447</v>
      </c>
      <c r="G330" s="4"/>
      <c r="I330">
        <f t="shared" si="5"/>
        <v>1447</v>
      </c>
      <c r="M330">
        <v>0</v>
      </c>
      <c r="AO330" s="3"/>
      <c r="AP330" s="3"/>
    </row>
    <row r="331" spans="1:42">
      <c r="A331" s="4">
        <f>-SUM(J331:AN331)</f>
        <v>0</v>
      </c>
      <c r="B331" t="s">
        <v>377</v>
      </c>
      <c r="C331" t="s">
        <v>43</v>
      </c>
      <c r="D331"/>
      <c r="E331" s="3"/>
      <c r="F331" s="5">
        <v>775</v>
      </c>
      <c r="G331" s="4"/>
      <c r="I331">
        <f t="shared" si="5"/>
        <v>775</v>
      </c>
      <c r="M331">
        <v>0</v>
      </c>
      <c r="AO331" s="3"/>
      <c r="AP331" s="3"/>
    </row>
    <row r="332" spans="1:42">
      <c r="A332" s="4">
        <f>-SUM(J332:AN332)</f>
        <v>0</v>
      </c>
      <c r="B332" t="s">
        <v>378</v>
      </c>
      <c r="C332" t="s">
        <v>43</v>
      </c>
      <c r="D332"/>
      <c r="E332" s="3"/>
      <c r="F332" s="5">
        <v>96</v>
      </c>
      <c r="G332" s="4"/>
      <c r="I332">
        <f t="shared" si="5"/>
        <v>96</v>
      </c>
      <c r="M332">
        <v>0</v>
      </c>
      <c r="AO332" s="3"/>
      <c r="AP332" s="3"/>
    </row>
    <row r="333" spans="1:42">
      <c r="A333" s="4">
        <f>-SUM(J333:AN333)</f>
        <v>0</v>
      </c>
      <c r="B333" t="s">
        <v>379</v>
      </c>
      <c r="E333" s="3"/>
      <c r="F333" s="8"/>
      <c r="G333" s="4"/>
      <c r="I333">
        <f t="shared" si="5"/>
        <v>0</v>
      </c>
      <c r="M333">
        <v>0</v>
      </c>
      <c r="AO333" s="3"/>
      <c r="AP333" s="3"/>
    </row>
    <row r="334" spans="1:42">
      <c r="A334" s="4">
        <f>-SUM(J334:AN334)</f>
        <v>0</v>
      </c>
      <c r="B334" t="s">
        <v>380</v>
      </c>
      <c r="E334" s="3"/>
      <c r="F334" s="8"/>
      <c r="G334" s="4"/>
      <c r="I334">
        <f t="shared" si="5"/>
        <v>0</v>
      </c>
      <c r="M334">
        <v>0</v>
      </c>
      <c r="AO334" s="3"/>
      <c r="AP334" s="3"/>
    </row>
    <row r="335" spans="1:42">
      <c r="A335" s="4">
        <f>-SUM(J335:AN335)</f>
        <v>0</v>
      </c>
      <c r="B335" t="s">
        <v>381</v>
      </c>
      <c r="E335" s="3"/>
      <c r="F335" s="8"/>
      <c r="G335" s="4"/>
      <c r="I335">
        <f t="shared" si="5"/>
        <v>0</v>
      </c>
      <c r="M335">
        <v>0</v>
      </c>
      <c r="AO335" s="3"/>
      <c r="AP335" s="3"/>
    </row>
    <row r="336" spans="1:42">
      <c r="A336" s="4">
        <f>-SUM(J336:AN336)</f>
        <v>0</v>
      </c>
      <c r="B336" t="s">
        <v>382</v>
      </c>
      <c r="E336" s="3"/>
      <c r="F336" s="8"/>
      <c r="G336" s="4"/>
      <c r="I336">
        <f t="shared" si="5"/>
        <v>0</v>
      </c>
      <c r="M336">
        <v>0</v>
      </c>
      <c r="AO336" s="3"/>
      <c r="AP336" s="3"/>
    </row>
    <row r="337" spans="1:42">
      <c r="A337" s="4">
        <f>-SUM(J337:AN337)</f>
        <v>0</v>
      </c>
      <c r="B337" t="s">
        <v>383</v>
      </c>
      <c r="E337" s="3"/>
      <c r="F337" s="8"/>
      <c r="G337" s="4"/>
      <c r="I337">
        <f t="shared" si="5"/>
        <v>0</v>
      </c>
      <c r="M337">
        <v>0</v>
      </c>
      <c r="AO337" s="3"/>
      <c r="AP337" s="3"/>
    </row>
    <row r="338" spans="1:42">
      <c r="A338" s="4">
        <f>-SUM(J338:AN338)</f>
        <v>0</v>
      </c>
      <c r="B338" t="s">
        <v>384</v>
      </c>
      <c r="C338" t="s">
        <v>43</v>
      </c>
      <c r="D338"/>
      <c r="E338" s="3"/>
      <c r="F338" s="5">
        <v>27</v>
      </c>
      <c r="G338" s="4"/>
      <c r="I338">
        <f t="shared" si="5"/>
        <v>27</v>
      </c>
      <c r="M338">
        <v>0</v>
      </c>
      <c r="AO338" s="3"/>
      <c r="AP338" s="3"/>
    </row>
    <row r="339" spans="1:42">
      <c r="A339" s="4">
        <f>-SUM(J339:AN339)</f>
        <v>0</v>
      </c>
      <c r="B339" t="s">
        <v>385</v>
      </c>
      <c r="C339" t="s">
        <v>43</v>
      </c>
      <c r="D339"/>
      <c r="E339" s="3"/>
      <c r="F339" s="5">
        <v>25</v>
      </c>
      <c r="G339" s="4"/>
      <c r="I339">
        <f t="shared" si="5"/>
        <v>25</v>
      </c>
      <c r="M339">
        <v>0</v>
      </c>
      <c r="AO339" s="3"/>
      <c r="AP339" s="3"/>
    </row>
    <row r="340" spans="1:42">
      <c r="A340" s="4">
        <f>-SUM(J340:AN340)</f>
        <v>0</v>
      </c>
      <c r="B340" t="s">
        <v>386</v>
      </c>
      <c r="C340" t="s">
        <v>43</v>
      </c>
      <c r="D340"/>
      <c r="E340" s="3"/>
      <c r="F340" s="5">
        <v>28</v>
      </c>
      <c r="G340" s="4"/>
      <c r="I340">
        <f t="shared" si="5"/>
        <v>28</v>
      </c>
      <c r="M340">
        <v>0</v>
      </c>
      <c r="AO340" s="3"/>
      <c r="AP340" s="3"/>
    </row>
    <row r="341" spans="1:42">
      <c r="A341" s="4">
        <f>-SUM(J341:AN341)</f>
        <v>0</v>
      </c>
      <c r="B341" t="s">
        <v>387</v>
      </c>
      <c r="C341" t="s">
        <v>43</v>
      </c>
      <c r="D341"/>
      <c r="E341" s="3"/>
      <c r="F341" s="5">
        <v>51</v>
      </c>
      <c r="G341" s="4"/>
      <c r="I341">
        <f t="shared" si="5"/>
        <v>51</v>
      </c>
      <c r="M341">
        <v>0</v>
      </c>
      <c r="AO341" s="3"/>
      <c r="AP341" s="3"/>
    </row>
    <row r="342" spans="1:42">
      <c r="A342" s="4">
        <f>-SUM(J342:AN342)</f>
        <v>0</v>
      </c>
      <c r="B342" t="s">
        <v>388</v>
      </c>
      <c r="C342" t="s">
        <v>46</v>
      </c>
      <c r="D342"/>
      <c r="E342" s="3"/>
      <c r="F342" s="5">
        <v>0</v>
      </c>
      <c r="G342" s="4"/>
      <c r="I342">
        <f t="shared" si="5"/>
        <v>0</v>
      </c>
      <c r="M342">
        <v>0</v>
      </c>
      <c r="AO342" s="3"/>
      <c r="AP342" s="3"/>
    </row>
    <row r="343" spans="1:42">
      <c r="A343" s="4">
        <f>-SUM(J343:AN343)</f>
        <v>0</v>
      </c>
      <c r="B343" t="s">
        <v>389</v>
      </c>
      <c r="C343" t="s">
        <v>46</v>
      </c>
      <c r="D343"/>
      <c r="E343" s="3"/>
      <c r="F343" s="5">
        <v>0</v>
      </c>
      <c r="G343" s="4"/>
      <c r="I343">
        <f t="shared" si="5"/>
        <v>0</v>
      </c>
      <c r="M343">
        <v>0</v>
      </c>
      <c r="AO343" s="3"/>
      <c r="AP343" s="3"/>
    </row>
    <row r="344" spans="1:42">
      <c r="A344" s="4">
        <f>-SUM(J344:AN344)</f>
        <v>0</v>
      </c>
      <c r="B344" t="s">
        <v>390</v>
      </c>
      <c r="E344" s="3"/>
      <c r="F344" s="8"/>
      <c r="G344" s="4"/>
      <c r="I344">
        <f t="shared" si="5"/>
        <v>0</v>
      </c>
      <c r="M344">
        <v>0</v>
      </c>
      <c r="AO344" s="3"/>
      <c r="AP344" s="3"/>
    </row>
    <row r="345" spans="1:42">
      <c r="A345" s="4">
        <f>-SUM(J345:AN345)</f>
        <v>0</v>
      </c>
      <c r="B345" t="s">
        <v>391</v>
      </c>
      <c r="E345" s="3"/>
      <c r="F345" s="8"/>
      <c r="G345" s="4"/>
      <c r="I345">
        <f t="shared" si="5"/>
        <v>0</v>
      </c>
      <c r="M345">
        <v>0</v>
      </c>
      <c r="AO345" s="3"/>
      <c r="AP345" s="3"/>
    </row>
    <row r="346" spans="1:42">
      <c r="A346" s="4">
        <f>-SUM(J346:AN346)</f>
        <v>0</v>
      </c>
      <c r="B346" t="s">
        <v>392</v>
      </c>
      <c r="C346" t="s">
        <v>43</v>
      </c>
      <c r="D346"/>
      <c r="E346" s="3"/>
      <c r="F346" s="5">
        <v>30</v>
      </c>
      <c r="G346" s="4"/>
      <c r="I346">
        <f t="shared" si="5"/>
        <v>30</v>
      </c>
      <c r="M346">
        <v>0</v>
      </c>
      <c r="AO346" s="3"/>
      <c r="AP346" s="3"/>
    </row>
    <row r="347" spans="1:42">
      <c r="A347" s="4">
        <f>-SUM(J347:AN347)</f>
        <v>0</v>
      </c>
      <c r="B347" t="s">
        <v>393</v>
      </c>
      <c r="C347" t="s">
        <v>43</v>
      </c>
      <c r="D347" t="s">
        <v>394</v>
      </c>
      <c r="E347" s="3"/>
      <c r="F347" s="5">
        <v>12</v>
      </c>
      <c r="G347" s="4"/>
      <c r="I347">
        <f t="shared" si="5"/>
        <v>12</v>
      </c>
      <c r="M347">
        <v>0</v>
      </c>
      <c r="AO347" s="3"/>
      <c r="AP347" s="3"/>
    </row>
    <row r="348" spans="1:42">
      <c r="A348" s="4">
        <f>-SUM(J348:AN348)</f>
        <v>0</v>
      </c>
      <c r="B348" t="s">
        <v>395</v>
      </c>
      <c r="C348" t="s">
        <v>43</v>
      </c>
      <c r="D348" t="s">
        <v>396</v>
      </c>
      <c r="E348" s="3"/>
      <c r="F348" s="5">
        <v>64</v>
      </c>
      <c r="G348" s="4"/>
      <c r="I348">
        <f t="shared" si="5"/>
        <v>64</v>
      </c>
      <c r="M348">
        <v>0</v>
      </c>
      <c r="AO348" s="3"/>
      <c r="AP348" s="3"/>
    </row>
    <row r="349" spans="1:42">
      <c r="A349" s="4">
        <f>-SUM(J349:AN349)</f>
        <v>0</v>
      </c>
      <c r="B349" t="s">
        <v>397</v>
      </c>
      <c r="C349" t="s">
        <v>43</v>
      </c>
      <c r="D349"/>
      <c r="E349" s="3"/>
      <c r="F349" s="5">
        <v>6</v>
      </c>
      <c r="G349" s="4"/>
      <c r="I349">
        <f t="shared" si="5"/>
        <v>6</v>
      </c>
      <c r="M349">
        <v>0</v>
      </c>
      <c r="AO349" s="3"/>
      <c r="AP349" s="3"/>
    </row>
    <row r="350" spans="1:42">
      <c r="A350" s="4">
        <f>-SUM(J350:AN350)</f>
        <v>0</v>
      </c>
      <c r="B350" t="s">
        <v>398</v>
      </c>
      <c r="C350" t="s">
        <v>46</v>
      </c>
      <c r="D350"/>
      <c r="E350" s="3"/>
      <c r="F350" s="5">
        <v>0</v>
      </c>
      <c r="G350" s="4"/>
      <c r="I350">
        <f t="shared" si="5"/>
        <v>0</v>
      </c>
      <c r="M350">
        <v>0</v>
      </c>
      <c r="AO350" s="3"/>
      <c r="AP350" s="3"/>
    </row>
    <row r="351" spans="1:42">
      <c r="A351" s="4">
        <f>-SUM(J351:AN351)</f>
        <v>0</v>
      </c>
      <c r="B351" t="s">
        <v>399</v>
      </c>
      <c r="C351" t="s">
        <v>54</v>
      </c>
      <c r="D351"/>
      <c r="E351" s="3"/>
      <c r="F351" s="5">
        <v>574</v>
      </c>
      <c r="G351" s="4"/>
      <c r="I351">
        <f t="shared" si="5"/>
        <v>574</v>
      </c>
      <c r="M351">
        <v>0</v>
      </c>
      <c r="AO351" s="3"/>
      <c r="AP351" s="3"/>
    </row>
    <row r="352" spans="1:42">
      <c r="A352" s="4">
        <f>-SUM(J352:AN352)</f>
        <v>0</v>
      </c>
      <c r="B352" t="s">
        <v>400</v>
      </c>
      <c r="C352" t="s">
        <v>43</v>
      </c>
      <c r="D352"/>
      <c r="E352" s="3"/>
      <c r="F352" s="5">
        <v>14</v>
      </c>
      <c r="G352" s="4"/>
      <c r="I352">
        <f t="shared" si="5"/>
        <v>14</v>
      </c>
      <c r="M352">
        <v>0</v>
      </c>
      <c r="AO352" s="3"/>
      <c r="AP352" s="3"/>
    </row>
    <row r="353" spans="1:42">
      <c r="A353" s="4">
        <f>-SUM(J353:AN353)</f>
        <v>0</v>
      </c>
      <c r="B353" t="s">
        <v>401</v>
      </c>
      <c r="C353" t="s">
        <v>43</v>
      </c>
      <c r="D353"/>
      <c r="E353" s="3"/>
      <c r="F353" s="5">
        <v>151</v>
      </c>
      <c r="G353" s="4"/>
      <c r="I353">
        <f t="shared" si="5"/>
        <v>151</v>
      </c>
      <c r="M353">
        <v>0</v>
      </c>
      <c r="AO353" s="3"/>
      <c r="AP353" s="3"/>
    </row>
    <row r="354" spans="1:42">
      <c r="A354" s="4">
        <f>-SUM(J354:AN354)</f>
        <v>0</v>
      </c>
      <c r="B354" t="s">
        <v>402</v>
      </c>
      <c r="C354" t="s">
        <v>46</v>
      </c>
      <c r="D354"/>
      <c r="E354" s="3"/>
      <c r="F354" s="5">
        <v>0</v>
      </c>
      <c r="G354" s="4"/>
      <c r="I354">
        <f t="shared" si="5"/>
        <v>0</v>
      </c>
      <c r="M354">
        <v>0</v>
      </c>
      <c r="AO354" s="3"/>
      <c r="AP354" s="3"/>
    </row>
    <row r="355" spans="1:42">
      <c r="A355" s="4">
        <f>-SUM(J355:AN355)</f>
        <v>0</v>
      </c>
      <c r="B355" t="s">
        <v>403</v>
      </c>
      <c r="E355" s="3"/>
      <c r="F355" s="8"/>
      <c r="G355" s="4"/>
      <c r="I355">
        <f t="shared" si="5"/>
        <v>0</v>
      </c>
      <c r="M355">
        <v>0</v>
      </c>
      <c r="AO355" s="3"/>
      <c r="AP355" s="3"/>
    </row>
    <row r="356" spans="1:42">
      <c r="A356" s="4">
        <f>-SUM(J356:AN356)</f>
        <v>0</v>
      </c>
      <c r="B356" t="s">
        <v>404</v>
      </c>
      <c r="C356" t="s">
        <v>46</v>
      </c>
      <c r="D356"/>
      <c r="E356" s="3"/>
      <c r="F356" s="5">
        <v>0</v>
      </c>
      <c r="G356" s="4"/>
      <c r="I356">
        <f t="shared" si="5"/>
        <v>0</v>
      </c>
      <c r="M356">
        <v>0</v>
      </c>
      <c r="AO356" s="3"/>
      <c r="AP356" s="3"/>
    </row>
    <row r="357" spans="1:42">
      <c r="A357" s="4">
        <f>-SUM(J357:AN357)</f>
        <v>0</v>
      </c>
      <c r="B357" t="s">
        <v>405</v>
      </c>
      <c r="C357" t="s">
        <v>46</v>
      </c>
      <c r="D357"/>
      <c r="E357" s="3"/>
      <c r="F357" s="5">
        <v>0</v>
      </c>
      <c r="G357" s="4"/>
      <c r="I357">
        <f t="shared" si="5"/>
        <v>0</v>
      </c>
      <c r="M357">
        <v>0</v>
      </c>
      <c r="AO357" s="3"/>
      <c r="AP357" s="3"/>
    </row>
    <row r="358" spans="1:42">
      <c r="A358" s="4">
        <f>-SUM(J358:AN358)</f>
        <v>0</v>
      </c>
      <c r="B358" t="s">
        <v>406</v>
      </c>
      <c r="C358" t="s">
        <v>46</v>
      </c>
      <c r="D358"/>
      <c r="E358" s="3"/>
      <c r="F358" s="5">
        <v>0</v>
      </c>
      <c r="G358" s="4"/>
      <c r="I358">
        <f t="shared" si="5"/>
        <v>0</v>
      </c>
      <c r="M358">
        <v>0</v>
      </c>
      <c r="AO358" s="3"/>
      <c r="AP358" s="3"/>
    </row>
    <row r="359" spans="1:42">
      <c r="A359" s="4">
        <f>-SUM(J359:AN359)</f>
        <v>0</v>
      </c>
      <c r="B359" t="s">
        <v>407</v>
      </c>
      <c r="C359" t="s">
        <v>54</v>
      </c>
      <c r="D359"/>
      <c r="E359" s="3"/>
      <c r="F359" s="5">
        <v>62</v>
      </c>
      <c r="G359" s="4"/>
      <c r="I359">
        <f t="shared" si="5"/>
        <v>62</v>
      </c>
      <c r="M359">
        <v>0</v>
      </c>
      <c r="AO359" s="3"/>
      <c r="AP359" s="3"/>
    </row>
    <row r="360" spans="1:42">
      <c r="A360" s="4">
        <f>-SUM(J360:AN360)</f>
        <v>0</v>
      </c>
      <c r="B360" t="s">
        <v>408</v>
      </c>
      <c r="E360" s="3"/>
      <c r="F360" s="8"/>
      <c r="G360" s="4"/>
      <c r="I360">
        <f t="shared" si="5"/>
        <v>0</v>
      </c>
      <c r="M360">
        <v>0</v>
      </c>
      <c r="AO360" s="3"/>
      <c r="AP360" s="3"/>
    </row>
    <row r="361" spans="1:42">
      <c r="A361" s="4">
        <f>-SUM(J361:AN361)</f>
        <v>0</v>
      </c>
      <c r="B361" t="s">
        <v>409</v>
      </c>
      <c r="C361" t="s">
        <v>43</v>
      </c>
      <c r="D361"/>
      <c r="E361" s="3"/>
      <c r="F361" s="5">
        <v>100</v>
      </c>
      <c r="G361" s="4"/>
      <c r="I361">
        <f t="shared" si="5"/>
        <v>100</v>
      </c>
      <c r="M361">
        <v>0</v>
      </c>
      <c r="AO361" s="3"/>
      <c r="AP361" s="3"/>
    </row>
    <row r="362" spans="1:42">
      <c r="A362" s="4">
        <f>-SUM(J362:AN362)</f>
        <v>0</v>
      </c>
      <c r="B362" t="s">
        <v>410</v>
      </c>
      <c r="C362" t="s">
        <v>43</v>
      </c>
      <c r="D362"/>
      <c r="E362" s="3"/>
      <c r="F362" s="5">
        <v>100</v>
      </c>
      <c r="G362" s="4"/>
      <c r="I362">
        <f t="shared" si="5"/>
        <v>100</v>
      </c>
      <c r="M362">
        <v>0</v>
      </c>
      <c r="AO362" s="3"/>
      <c r="AP362" s="3"/>
    </row>
    <row r="363" spans="1:42">
      <c r="A363" s="4">
        <f>-SUM(J363:AN363)</f>
        <v>0</v>
      </c>
      <c r="B363" t="s">
        <v>411</v>
      </c>
      <c r="E363" s="3"/>
      <c r="F363" s="8"/>
      <c r="G363" s="4"/>
      <c r="I363">
        <f t="shared" si="5"/>
        <v>0</v>
      </c>
      <c r="M363">
        <v>0</v>
      </c>
      <c r="AO363" s="3"/>
      <c r="AP363" s="3"/>
    </row>
    <row r="364" spans="1:42">
      <c r="A364" s="4">
        <f>-SUM(J364:AN364)</f>
        <v>0</v>
      </c>
      <c r="B364" t="s">
        <v>412</v>
      </c>
      <c r="E364" s="3"/>
      <c r="F364" s="8"/>
      <c r="G364" s="4"/>
      <c r="I364">
        <f t="shared" si="5"/>
        <v>0</v>
      </c>
      <c r="M364">
        <v>0</v>
      </c>
      <c r="AO364" s="3"/>
      <c r="AP364" s="3"/>
    </row>
    <row r="365" spans="1:42">
      <c r="A365" s="4">
        <f>-SUM(J365:AN365)</f>
        <v>0</v>
      </c>
      <c r="B365" t="s">
        <v>413</v>
      </c>
      <c r="C365" t="s">
        <v>43</v>
      </c>
      <c r="D365"/>
      <c r="E365" s="3"/>
      <c r="F365" s="5">
        <v>17</v>
      </c>
      <c r="G365" s="4"/>
      <c r="I365">
        <f t="shared" si="5"/>
        <v>17</v>
      </c>
      <c r="M365">
        <v>0</v>
      </c>
      <c r="AO365" s="3"/>
      <c r="AP365" s="3"/>
    </row>
    <row r="366" spans="1:42">
      <c r="A366" s="4">
        <f>-SUM(J366:AN366)</f>
        <v>0</v>
      </c>
      <c r="B366" t="s">
        <v>414</v>
      </c>
      <c r="C366" t="s">
        <v>43</v>
      </c>
      <c r="D366" s="1"/>
      <c r="E366" s="3"/>
      <c r="F366" s="5">
        <v>0</v>
      </c>
      <c r="G366" s="4"/>
      <c r="I366">
        <f t="shared" si="5"/>
        <v>0</v>
      </c>
      <c r="M366">
        <v>0</v>
      </c>
      <c r="AO366" s="3"/>
      <c r="AP366" s="3"/>
    </row>
    <row r="367" spans="1:42">
      <c r="A367" s="4">
        <f>-SUM(J367:AN367)</f>
        <v>0</v>
      </c>
      <c r="B367" t="s">
        <v>415</v>
      </c>
      <c r="C367" t="s">
        <v>46</v>
      </c>
      <c r="D367" s="1">
        <v>46204</v>
      </c>
      <c r="E367" s="3"/>
      <c r="F367" s="5">
        <v>65</v>
      </c>
      <c r="G367" s="4"/>
      <c r="I367">
        <f t="shared" si="5"/>
        <v>65</v>
      </c>
      <c r="M367">
        <v>0</v>
      </c>
      <c r="AO367" s="3"/>
      <c r="AP367" s="3"/>
    </row>
    <row r="368" spans="1:42">
      <c r="A368" s="4">
        <f>-SUM(J368:AN368)</f>
        <v>0</v>
      </c>
      <c r="B368" t="s">
        <v>416</v>
      </c>
      <c r="C368" t="s">
        <v>43</v>
      </c>
      <c r="D368" s="1">
        <v>45839</v>
      </c>
      <c r="E368" s="3"/>
      <c r="F368" s="5">
        <v>15</v>
      </c>
      <c r="G368" s="4"/>
      <c r="I368">
        <f t="shared" si="5"/>
        <v>15</v>
      </c>
      <c r="M368">
        <v>0</v>
      </c>
      <c r="AO368" s="3"/>
      <c r="AP368" s="3"/>
    </row>
    <row r="369" spans="1:42">
      <c r="A369" s="4">
        <f>-SUM(J369:AN369)</f>
        <v>0</v>
      </c>
      <c r="B369" t="s">
        <v>417</v>
      </c>
      <c r="C369" t="s">
        <v>43</v>
      </c>
      <c r="D369" s="1"/>
      <c r="E369" s="3"/>
      <c r="F369" s="5">
        <v>0</v>
      </c>
      <c r="G369" s="4"/>
      <c r="I369">
        <f t="shared" si="5"/>
        <v>0</v>
      </c>
      <c r="M369">
        <v>0</v>
      </c>
      <c r="AO369" s="3"/>
      <c r="AP369" s="3"/>
    </row>
    <row r="370" spans="1:42">
      <c r="A370" s="4">
        <f>-SUM(J370:AN370)</f>
        <v>0</v>
      </c>
      <c r="B370" t="s">
        <v>418</v>
      </c>
      <c r="E370" s="3"/>
      <c r="F370" s="8"/>
      <c r="G370" s="4"/>
      <c r="I370">
        <f t="shared" si="5"/>
        <v>0</v>
      </c>
      <c r="M370">
        <v>0</v>
      </c>
      <c r="AO370" s="3"/>
      <c r="AP370" s="3"/>
    </row>
    <row r="371" spans="1:42">
      <c r="A371" s="4">
        <f>-SUM(J371:AN371)</f>
        <v>0</v>
      </c>
      <c r="B371" t="s">
        <v>419</v>
      </c>
      <c r="E371" s="3"/>
      <c r="F371" s="8"/>
      <c r="G371" s="4"/>
      <c r="I371">
        <f t="shared" si="5"/>
        <v>0</v>
      </c>
      <c r="M371">
        <v>0</v>
      </c>
      <c r="AO371" s="3"/>
      <c r="AP371" s="3"/>
    </row>
    <row r="372" spans="1:42">
      <c r="A372" s="4">
        <f>-SUM(J372:AN372)</f>
        <v>0</v>
      </c>
      <c r="B372" t="s">
        <v>420</v>
      </c>
      <c r="E372" s="3"/>
      <c r="F372" s="8"/>
      <c r="G372" s="4"/>
      <c r="I372">
        <f t="shared" si="5"/>
        <v>0</v>
      </c>
      <c r="M372">
        <v>0</v>
      </c>
      <c r="AO372" s="3"/>
      <c r="AP372" s="3"/>
    </row>
    <row r="373" spans="1:42">
      <c r="A373" s="4">
        <f>-SUM(J373:AN373)</f>
        <v>0</v>
      </c>
      <c r="B373" t="s">
        <v>421</v>
      </c>
      <c r="C373" t="s">
        <v>82</v>
      </c>
      <c r="D373"/>
      <c r="E373" s="3"/>
      <c r="F373" s="8">
        <v>0</v>
      </c>
      <c r="G373" s="4"/>
      <c r="I373">
        <f t="shared" si="5"/>
        <v>0</v>
      </c>
      <c r="M373">
        <v>0</v>
      </c>
      <c r="AO373" s="3"/>
      <c r="AP373" s="3"/>
    </row>
    <row r="374" spans="1:42">
      <c r="A374" s="4">
        <f>-SUM(J374:AN374)</f>
        <v>0</v>
      </c>
      <c r="B374" t="s">
        <v>422</v>
      </c>
      <c r="E374" s="3"/>
      <c r="F374" s="8"/>
      <c r="G374" s="4"/>
      <c r="I374">
        <f t="shared" si="5"/>
        <v>0</v>
      </c>
      <c r="M374">
        <v>0</v>
      </c>
      <c r="AO374" s="3"/>
      <c r="AP374" s="3"/>
    </row>
    <row r="375" spans="1:42">
      <c r="A375" s="4">
        <f>-SUM(J375:AN375)</f>
        <v>0</v>
      </c>
      <c r="B375" t="s">
        <v>423</v>
      </c>
      <c r="C375" t="s">
        <v>46</v>
      </c>
      <c r="D375"/>
      <c r="E375" s="3"/>
      <c r="F375" s="5">
        <v>0</v>
      </c>
      <c r="G375" s="4"/>
      <c r="I375">
        <f t="shared" si="5"/>
        <v>0</v>
      </c>
      <c r="M375">
        <v>0</v>
      </c>
      <c r="AO375" s="3"/>
      <c r="AP375" s="3"/>
    </row>
    <row r="376" spans="1:42">
      <c r="A376" s="4">
        <f>-SUM(J376:AN376)</f>
        <v>0</v>
      </c>
      <c r="B376" t="s">
        <v>424</v>
      </c>
      <c r="C376" t="s">
        <v>82</v>
      </c>
      <c r="D376"/>
      <c r="E376" s="3"/>
      <c r="F376" s="5">
        <v>3</v>
      </c>
      <c r="G376" s="4"/>
      <c r="I376">
        <f t="shared" si="5"/>
        <v>3</v>
      </c>
      <c r="M376">
        <v>0</v>
      </c>
      <c r="AO376" s="3"/>
      <c r="AP376" s="3"/>
    </row>
    <row r="377" spans="1:42">
      <c r="A377" s="4">
        <f>-SUM(J377:AN377)</f>
        <v>0</v>
      </c>
      <c r="B377" t="s">
        <v>425</v>
      </c>
      <c r="C377" t="s">
        <v>82</v>
      </c>
      <c r="D377"/>
      <c r="E377" s="3"/>
      <c r="F377" s="5">
        <v>40</v>
      </c>
      <c r="G377" s="4"/>
      <c r="I377">
        <f t="shared" si="5"/>
        <v>40</v>
      </c>
      <c r="M377">
        <v>0</v>
      </c>
      <c r="AO377" s="3"/>
      <c r="AP377" s="3"/>
    </row>
    <row r="378" spans="1:42">
      <c r="A378" s="4">
        <f>-SUM(J378:AN378)</f>
        <v>0</v>
      </c>
      <c r="B378" t="s">
        <v>426</v>
      </c>
      <c r="C378" t="s">
        <v>82</v>
      </c>
      <c r="D378"/>
      <c r="E378" s="3"/>
      <c r="F378" s="5">
        <v>8</v>
      </c>
      <c r="G378" s="4"/>
      <c r="I378">
        <f t="shared" si="5"/>
        <v>8</v>
      </c>
      <c r="M378">
        <v>0</v>
      </c>
      <c r="AO378" s="3"/>
      <c r="AP378" s="3"/>
    </row>
    <row r="379" spans="1:42">
      <c r="A379" s="4">
        <f>-SUM(J379:AN379)</f>
        <v>0</v>
      </c>
      <c r="B379" t="s">
        <v>427</v>
      </c>
      <c r="E379" s="3"/>
      <c r="F379" s="8"/>
      <c r="G379" s="4"/>
      <c r="I379">
        <f t="shared" si="5"/>
        <v>0</v>
      </c>
      <c r="M379">
        <v>0</v>
      </c>
      <c r="AO379" s="3"/>
      <c r="AP379" s="3"/>
    </row>
    <row r="380" spans="1:42">
      <c r="A380" s="4">
        <f>-SUM(J380:AN380)</f>
        <v>0</v>
      </c>
      <c r="B380" t="s">
        <v>428</v>
      </c>
      <c r="C380" t="s">
        <v>43</v>
      </c>
      <c r="D380"/>
      <c r="E380" s="3"/>
      <c r="F380" s="5">
        <v>0</v>
      </c>
      <c r="G380" s="4"/>
      <c r="I380">
        <f t="shared" si="5"/>
        <v>0</v>
      </c>
      <c r="M380">
        <v>0</v>
      </c>
      <c r="AO380" s="3"/>
      <c r="AP380" s="3"/>
    </row>
    <row r="381" spans="1:42">
      <c r="A381" s="4">
        <f>-SUM(J381:AN381)</f>
        <v>0</v>
      </c>
      <c r="B381" t="s">
        <v>429</v>
      </c>
      <c r="E381" s="3"/>
      <c r="F381" s="8"/>
      <c r="G381" s="4"/>
      <c r="I381">
        <f t="shared" si="5"/>
        <v>0</v>
      </c>
      <c r="M381">
        <v>0</v>
      </c>
      <c r="AO381" s="3"/>
      <c r="AP381" s="3"/>
    </row>
    <row r="382" spans="1:42">
      <c r="A382" s="4">
        <f>-SUM(J382:AN382)</f>
        <v>0</v>
      </c>
      <c r="B382" t="s">
        <v>430</v>
      </c>
      <c r="C382" t="s">
        <v>43</v>
      </c>
      <c r="D382"/>
      <c r="E382" s="3"/>
      <c r="F382" s="5">
        <v>0</v>
      </c>
      <c r="G382" s="4"/>
      <c r="I382">
        <f t="shared" si="5"/>
        <v>0</v>
      </c>
      <c r="M382">
        <v>0</v>
      </c>
      <c r="AO382" s="3"/>
      <c r="AP382" s="3"/>
    </row>
    <row r="383" spans="1:42">
      <c r="A383" s="4">
        <f>-SUM(J383:AN383)</f>
        <v>0</v>
      </c>
      <c r="B383" t="s">
        <v>431</v>
      </c>
      <c r="C383" t="s">
        <v>46</v>
      </c>
      <c r="D383"/>
      <c r="E383" s="3"/>
      <c r="F383" s="5">
        <v>0</v>
      </c>
      <c r="G383" s="4"/>
      <c r="I383">
        <f t="shared" si="5"/>
        <v>0</v>
      </c>
      <c r="M383">
        <v>0</v>
      </c>
      <c r="AO383" s="3"/>
      <c r="AP383" s="3"/>
    </row>
    <row r="384" spans="1:42">
      <c r="A384" s="4">
        <f>-SUM(J384:AN384)</f>
        <v>0</v>
      </c>
      <c r="B384" t="s">
        <v>432</v>
      </c>
      <c r="C384" t="s">
        <v>43</v>
      </c>
      <c r="D384"/>
      <c r="E384" s="3"/>
      <c r="F384" s="5">
        <v>25</v>
      </c>
      <c r="G384" s="4"/>
      <c r="I384">
        <f t="shared" si="5"/>
        <v>25</v>
      </c>
      <c r="M384">
        <v>0</v>
      </c>
      <c r="AO384" s="3"/>
      <c r="AP384" s="3"/>
    </row>
    <row r="385" spans="1:42">
      <c r="A385" s="4">
        <f>-SUM(J385:AN385)</f>
        <v>0</v>
      </c>
      <c r="B385" t="s">
        <v>433</v>
      </c>
      <c r="C385" t="s">
        <v>43</v>
      </c>
      <c r="D385"/>
      <c r="E385" s="3"/>
      <c r="F385" s="5">
        <v>88</v>
      </c>
      <c r="G385" s="4"/>
      <c r="I385">
        <f t="shared" si="5"/>
        <v>88</v>
      </c>
      <c r="M385">
        <v>0</v>
      </c>
      <c r="AO385" s="3"/>
      <c r="AP385" s="3"/>
    </row>
    <row r="386" spans="1:42">
      <c r="A386" s="4">
        <f>-SUM(J386:AN386)</f>
        <v>0</v>
      </c>
      <c r="B386" t="s">
        <v>434</v>
      </c>
      <c r="C386" t="s">
        <v>43</v>
      </c>
      <c r="D386"/>
      <c r="E386" s="3"/>
      <c r="F386" s="5">
        <v>21</v>
      </c>
      <c r="G386" s="4"/>
      <c r="I386">
        <f t="shared" ref="I386:I449" si="6">SUM(F386+G386-E386,J386:AN386)</f>
        <v>21</v>
      </c>
      <c r="M386">
        <v>0</v>
      </c>
      <c r="AO386" s="3"/>
      <c r="AP386" s="3"/>
    </row>
    <row r="387" spans="1:42">
      <c r="A387" s="4">
        <f>-SUM(J387:AN387)</f>
        <v>0</v>
      </c>
      <c r="B387" t="s">
        <v>435</v>
      </c>
      <c r="C387" t="s">
        <v>43</v>
      </c>
      <c r="D387"/>
      <c r="E387" s="3"/>
      <c r="F387" s="5">
        <v>27</v>
      </c>
      <c r="G387" s="4"/>
      <c r="I387">
        <f t="shared" si="6"/>
        <v>27</v>
      </c>
      <c r="M387">
        <v>0</v>
      </c>
      <c r="AO387" s="3"/>
      <c r="AP387" s="3"/>
    </row>
    <row r="388" spans="1:42">
      <c r="A388" s="4">
        <f>-SUM(J388:AN388)</f>
        <v>0</v>
      </c>
      <c r="B388" t="s">
        <v>436</v>
      </c>
      <c r="C388" t="s">
        <v>43</v>
      </c>
      <c r="D388"/>
      <c r="E388" s="3"/>
      <c r="F388" s="5">
        <v>50</v>
      </c>
      <c r="G388" s="4"/>
      <c r="I388">
        <f t="shared" si="6"/>
        <v>50</v>
      </c>
      <c r="M388">
        <v>0</v>
      </c>
      <c r="AO388" s="3"/>
      <c r="AP388" s="3"/>
    </row>
    <row r="389" spans="1:42">
      <c r="A389" s="4">
        <f>-SUM(J389:AN389)</f>
        <v>0</v>
      </c>
      <c r="B389" t="s">
        <v>437</v>
      </c>
      <c r="C389" t="s">
        <v>46</v>
      </c>
      <c r="D389"/>
      <c r="E389" s="3"/>
      <c r="F389" s="8">
        <v>0</v>
      </c>
      <c r="G389" s="4"/>
      <c r="I389">
        <f t="shared" si="6"/>
        <v>0</v>
      </c>
      <c r="M389">
        <v>0</v>
      </c>
      <c r="AO389" s="3"/>
      <c r="AP389" s="3"/>
    </row>
    <row r="390" spans="1:42">
      <c r="A390" s="4">
        <f>-SUM(J390:AN390)</f>
        <v>0</v>
      </c>
      <c r="B390" t="s">
        <v>438</v>
      </c>
      <c r="C390" t="s">
        <v>46</v>
      </c>
      <c r="D390"/>
      <c r="E390" s="3"/>
      <c r="F390" s="5">
        <v>0</v>
      </c>
      <c r="G390" s="4"/>
      <c r="I390">
        <f t="shared" si="6"/>
        <v>0</v>
      </c>
      <c r="M390">
        <v>0</v>
      </c>
      <c r="AO390" s="3"/>
      <c r="AP390" s="3"/>
    </row>
    <row r="391" spans="1:42">
      <c r="A391" s="4">
        <f>-SUM(J391:AN391)</f>
        <v>0</v>
      </c>
      <c r="B391" t="s">
        <v>439</v>
      </c>
      <c r="C391" t="s">
        <v>43</v>
      </c>
      <c r="D391"/>
      <c r="E391" s="3"/>
      <c r="F391" s="5">
        <v>550</v>
      </c>
      <c r="G391" s="4"/>
      <c r="I391">
        <f t="shared" si="6"/>
        <v>550</v>
      </c>
      <c r="M391">
        <v>0</v>
      </c>
      <c r="AO391" s="3"/>
      <c r="AP391" s="3"/>
    </row>
    <row r="392" spans="1:42">
      <c r="A392" s="4">
        <f>-SUM(J392:AN392)</f>
        <v>0</v>
      </c>
      <c r="B392" t="s">
        <v>440</v>
      </c>
      <c r="E392" s="3"/>
      <c r="F392" s="8"/>
      <c r="G392" s="4"/>
      <c r="I392">
        <f t="shared" si="6"/>
        <v>0</v>
      </c>
      <c r="M392">
        <v>0</v>
      </c>
      <c r="AO392" s="3"/>
      <c r="AP392" s="3"/>
    </row>
    <row r="393" spans="1:42">
      <c r="A393" s="4">
        <f>-SUM(J393:AN393)</f>
        <v>0</v>
      </c>
      <c r="B393" t="s">
        <v>441</v>
      </c>
      <c r="C393" t="s">
        <v>43</v>
      </c>
      <c r="D393"/>
      <c r="E393" s="3"/>
      <c r="F393" s="5">
        <v>4</v>
      </c>
      <c r="G393" s="4"/>
      <c r="I393">
        <f t="shared" si="6"/>
        <v>4</v>
      </c>
      <c r="M393">
        <v>0</v>
      </c>
      <c r="AO393" s="3"/>
      <c r="AP393" s="3"/>
    </row>
    <row r="394" spans="1:42">
      <c r="A394" s="4">
        <f>-SUM(J394:AN394)</f>
        <v>0</v>
      </c>
      <c r="B394" t="s">
        <v>442</v>
      </c>
      <c r="C394" t="s">
        <v>43</v>
      </c>
      <c r="D394"/>
      <c r="E394" s="3"/>
      <c r="F394" s="5">
        <v>28</v>
      </c>
      <c r="G394" s="4"/>
      <c r="I394">
        <f t="shared" si="6"/>
        <v>28</v>
      </c>
      <c r="M394">
        <v>0</v>
      </c>
      <c r="AO394" s="3"/>
      <c r="AP394" s="3"/>
    </row>
    <row r="395" spans="1:42">
      <c r="A395" s="4">
        <f>-SUM(J395:AN395)</f>
        <v>0</v>
      </c>
      <c r="B395" t="s">
        <v>443</v>
      </c>
      <c r="C395" t="s">
        <v>43</v>
      </c>
      <c r="D395"/>
      <c r="E395" s="3"/>
      <c r="F395" s="5">
        <v>13</v>
      </c>
      <c r="G395" s="4"/>
      <c r="I395">
        <f t="shared" si="6"/>
        <v>13</v>
      </c>
      <c r="M395">
        <v>0</v>
      </c>
      <c r="AO395" s="3"/>
      <c r="AP395" s="3"/>
    </row>
    <row r="396" spans="1:42">
      <c r="A396" s="4">
        <f>-SUM(J396:AN396)</f>
        <v>0</v>
      </c>
      <c r="B396" t="s">
        <v>444</v>
      </c>
      <c r="C396" t="s">
        <v>46</v>
      </c>
      <c r="D396"/>
      <c r="E396" s="3"/>
      <c r="F396" s="5">
        <v>0</v>
      </c>
      <c r="G396" s="4"/>
      <c r="I396">
        <f t="shared" si="6"/>
        <v>0</v>
      </c>
      <c r="M396">
        <v>0</v>
      </c>
      <c r="AO396" s="3"/>
      <c r="AP396" s="3"/>
    </row>
    <row r="397" spans="1:42">
      <c r="A397" s="4">
        <f>-SUM(J397:AN397)</f>
        <v>0</v>
      </c>
      <c r="B397" t="s">
        <v>445</v>
      </c>
      <c r="C397" t="s">
        <v>46</v>
      </c>
      <c r="D397"/>
      <c r="E397" s="3"/>
      <c r="F397" s="5">
        <v>0</v>
      </c>
      <c r="G397" s="4"/>
      <c r="I397">
        <f t="shared" si="6"/>
        <v>0</v>
      </c>
      <c r="M397">
        <v>0</v>
      </c>
      <c r="AO397" s="3"/>
      <c r="AP397" s="3"/>
    </row>
    <row r="398" spans="1:42">
      <c r="A398" s="4">
        <f>-SUM(J398:AN398)</f>
        <v>0</v>
      </c>
      <c r="B398" t="s">
        <v>446</v>
      </c>
      <c r="C398" t="s">
        <v>46</v>
      </c>
      <c r="D398"/>
      <c r="E398" s="3"/>
      <c r="F398" s="5">
        <v>0</v>
      </c>
      <c r="G398" s="4"/>
      <c r="I398">
        <f t="shared" si="6"/>
        <v>0</v>
      </c>
      <c r="M398">
        <v>0</v>
      </c>
      <c r="AO398" s="3"/>
      <c r="AP398" s="3"/>
    </row>
    <row r="399" spans="1:42">
      <c r="A399" s="4">
        <f>-SUM(J399:AN399)</f>
        <v>0</v>
      </c>
      <c r="B399" t="s">
        <v>447</v>
      </c>
      <c r="C399" t="s">
        <v>46</v>
      </c>
      <c r="D399"/>
      <c r="E399" s="3"/>
      <c r="F399" s="5">
        <v>0</v>
      </c>
      <c r="G399" s="4"/>
      <c r="I399">
        <f t="shared" si="6"/>
        <v>0</v>
      </c>
      <c r="M399">
        <v>0</v>
      </c>
      <c r="AO399" s="3"/>
      <c r="AP399" s="3"/>
    </row>
    <row r="400" spans="1:42">
      <c r="A400" s="4">
        <f>-SUM(J400:AN400)</f>
        <v>0</v>
      </c>
      <c r="B400" t="s">
        <v>448</v>
      </c>
      <c r="C400" t="s">
        <v>82</v>
      </c>
      <c r="D400"/>
      <c r="E400" s="3"/>
      <c r="F400" s="5">
        <v>2</v>
      </c>
      <c r="G400" s="4"/>
      <c r="I400">
        <f t="shared" si="6"/>
        <v>2</v>
      </c>
      <c r="M400">
        <v>0</v>
      </c>
      <c r="AO400" s="3"/>
      <c r="AP400" s="3"/>
    </row>
    <row r="401" spans="1:42">
      <c r="A401" s="4">
        <f>-SUM(J401:AN401)</f>
        <v>0</v>
      </c>
      <c r="B401" t="s">
        <v>449</v>
      </c>
      <c r="C401" t="s">
        <v>43</v>
      </c>
      <c r="D401"/>
      <c r="E401" s="3"/>
      <c r="F401" s="5">
        <v>12</v>
      </c>
      <c r="G401" s="4"/>
      <c r="I401">
        <f t="shared" si="6"/>
        <v>12</v>
      </c>
      <c r="M401">
        <v>0</v>
      </c>
      <c r="AO401" s="3"/>
      <c r="AP401" s="3"/>
    </row>
    <row r="402" spans="1:42">
      <c r="A402" s="4">
        <f>-SUM(J402:AN402)</f>
        <v>0</v>
      </c>
      <c r="B402" t="s">
        <v>450</v>
      </c>
      <c r="C402" t="s">
        <v>43</v>
      </c>
      <c r="D402"/>
      <c r="E402" s="3"/>
      <c r="F402" s="5">
        <v>12</v>
      </c>
      <c r="G402" s="4"/>
      <c r="I402">
        <f t="shared" si="6"/>
        <v>12</v>
      </c>
      <c r="M402">
        <v>0</v>
      </c>
      <c r="AO402" s="3"/>
      <c r="AP402" s="3"/>
    </row>
    <row r="403" spans="1:42">
      <c r="A403" s="4">
        <f>-SUM(J403:AN403)</f>
        <v>0</v>
      </c>
      <c r="B403" t="s">
        <v>451</v>
      </c>
      <c r="E403" s="3"/>
      <c r="F403" s="8"/>
      <c r="G403" s="4"/>
      <c r="I403">
        <f t="shared" si="6"/>
        <v>0</v>
      </c>
      <c r="M403">
        <v>0</v>
      </c>
      <c r="AO403" s="3"/>
      <c r="AP403" s="3"/>
    </row>
    <row r="404" spans="1:42">
      <c r="A404" s="4">
        <f>-SUM(J404:AN404)</f>
        <v>0</v>
      </c>
      <c r="B404" t="s">
        <v>452</v>
      </c>
      <c r="C404" t="s">
        <v>43</v>
      </c>
      <c r="D404"/>
      <c r="E404" s="3"/>
      <c r="F404" s="5">
        <v>0</v>
      </c>
      <c r="G404" s="4"/>
      <c r="I404">
        <f t="shared" si="6"/>
        <v>0</v>
      </c>
      <c r="M404">
        <v>0</v>
      </c>
      <c r="AO404" s="3"/>
      <c r="AP404" s="3"/>
    </row>
    <row r="405" spans="1:42">
      <c r="A405" s="4">
        <f>-SUM(J405:AN405)</f>
        <v>0</v>
      </c>
      <c r="B405" t="s">
        <v>453</v>
      </c>
      <c r="C405" t="s">
        <v>46</v>
      </c>
      <c r="D405"/>
      <c r="E405" s="3"/>
      <c r="F405" s="5">
        <v>0</v>
      </c>
      <c r="G405" s="4"/>
      <c r="I405">
        <f t="shared" si="6"/>
        <v>0</v>
      </c>
      <c r="M405">
        <v>0</v>
      </c>
      <c r="AO405" s="3"/>
      <c r="AP405" s="3"/>
    </row>
    <row r="406" spans="1:42">
      <c r="A406" s="4">
        <f>-SUM(J406:AN406)</f>
        <v>0</v>
      </c>
      <c r="B406" t="s">
        <v>454</v>
      </c>
      <c r="E406" s="3"/>
      <c r="F406" s="8"/>
      <c r="G406" s="4"/>
      <c r="I406">
        <f t="shared" si="6"/>
        <v>0</v>
      </c>
      <c r="M406">
        <v>0</v>
      </c>
      <c r="AO406" s="3"/>
      <c r="AP406" s="3"/>
    </row>
    <row r="407" spans="1:42">
      <c r="A407" s="4">
        <f>-SUM(J407:AN407)</f>
        <v>0</v>
      </c>
      <c r="B407" t="s">
        <v>455</v>
      </c>
      <c r="C407" t="s">
        <v>43</v>
      </c>
      <c r="D407"/>
      <c r="E407" s="3"/>
      <c r="F407" s="5">
        <v>45</v>
      </c>
      <c r="G407" s="4"/>
      <c r="I407">
        <f t="shared" si="6"/>
        <v>45</v>
      </c>
      <c r="M407">
        <v>0</v>
      </c>
      <c r="AO407" s="3"/>
      <c r="AP407" s="3"/>
    </row>
    <row r="408" spans="1:42">
      <c r="A408" s="4">
        <f>-SUM(J408:AN408)</f>
        <v>0</v>
      </c>
      <c r="B408" t="s">
        <v>1</v>
      </c>
      <c r="C408" t="s">
        <v>456</v>
      </c>
      <c r="D408"/>
      <c r="E408" s="3"/>
      <c r="F408" s="5"/>
      <c r="G408" s="4"/>
      <c r="I408">
        <f t="shared" si="6"/>
        <v>0</v>
      </c>
      <c r="M408">
        <v>0</v>
      </c>
      <c r="AO408" s="3"/>
      <c r="AP408" s="3"/>
    </row>
    <row r="409" spans="1:42">
      <c r="A409" s="4">
        <f>-SUM(J409:AN409)</f>
        <v>0</v>
      </c>
      <c r="B409" t="s">
        <v>1</v>
      </c>
      <c r="E409" s="3"/>
      <c r="F409" s="8"/>
      <c r="G409" s="4"/>
      <c r="I409">
        <f t="shared" si="6"/>
        <v>0</v>
      </c>
      <c r="M409">
        <v>0</v>
      </c>
      <c r="AO409" s="3"/>
      <c r="AP409" s="3"/>
    </row>
    <row r="410" spans="1:42">
      <c r="A410" s="4">
        <f>-SUM(J410:AN410)</f>
        <v>0</v>
      </c>
      <c r="B410" t="s">
        <v>457</v>
      </c>
      <c r="E410" s="3"/>
      <c r="F410" s="8"/>
      <c r="G410" s="4"/>
      <c r="I410">
        <f t="shared" si="6"/>
        <v>0</v>
      </c>
      <c r="M410">
        <v>0</v>
      </c>
      <c r="AO410" s="3"/>
      <c r="AP410" s="3"/>
    </row>
    <row r="411" spans="1:42">
      <c r="A411" s="4">
        <f>-SUM(J411:AN411)</f>
        <v>0</v>
      </c>
      <c r="B411" t="s">
        <v>458</v>
      </c>
      <c r="C411" t="s">
        <v>43</v>
      </c>
      <c r="D411"/>
      <c r="E411" s="3"/>
      <c r="F411" s="5">
        <v>27</v>
      </c>
      <c r="G411" s="4"/>
      <c r="I411">
        <f t="shared" si="6"/>
        <v>27</v>
      </c>
      <c r="M411">
        <v>0</v>
      </c>
      <c r="AO411" s="3"/>
      <c r="AP411" s="3"/>
    </row>
    <row r="412" spans="1:42">
      <c r="A412" s="4">
        <f>-SUM(J412:AN412)</f>
        <v>0</v>
      </c>
      <c r="B412" t="s">
        <v>459</v>
      </c>
      <c r="C412" t="s">
        <v>43</v>
      </c>
      <c r="D412"/>
      <c r="E412" s="3"/>
      <c r="F412" s="5">
        <v>75</v>
      </c>
      <c r="G412" s="4"/>
      <c r="I412">
        <f t="shared" si="6"/>
        <v>75</v>
      </c>
      <c r="M412">
        <v>0</v>
      </c>
      <c r="AO412" s="3"/>
      <c r="AP412" s="3"/>
    </row>
    <row r="413" spans="1:42">
      <c r="A413" s="4">
        <f>-SUM(J413:AN413)</f>
        <v>0</v>
      </c>
      <c r="B413" t="s">
        <v>460</v>
      </c>
      <c r="C413" t="s">
        <v>43</v>
      </c>
      <c r="D413"/>
      <c r="E413" s="3"/>
      <c r="F413" s="5">
        <v>89</v>
      </c>
      <c r="G413" s="4"/>
      <c r="I413">
        <f t="shared" si="6"/>
        <v>89</v>
      </c>
      <c r="M413">
        <v>0</v>
      </c>
      <c r="AO413" s="3"/>
      <c r="AP413" s="3"/>
    </row>
    <row r="414" spans="1:42">
      <c r="A414" s="4">
        <f>-SUM(J414:AN414)</f>
        <v>0</v>
      </c>
      <c r="B414" t="s">
        <v>461</v>
      </c>
      <c r="C414" t="s">
        <v>43</v>
      </c>
      <c r="D414"/>
      <c r="E414" s="3"/>
      <c r="F414" s="5">
        <v>100</v>
      </c>
      <c r="G414" s="4"/>
      <c r="I414">
        <f t="shared" si="6"/>
        <v>100</v>
      </c>
      <c r="M414">
        <v>0</v>
      </c>
      <c r="AO414" s="3"/>
      <c r="AP414" s="3"/>
    </row>
    <row r="415" spans="1:42">
      <c r="A415" s="4">
        <f>-SUM(J415:AN415)</f>
        <v>0</v>
      </c>
      <c r="B415" t="s">
        <v>462</v>
      </c>
      <c r="C415" t="s">
        <v>43</v>
      </c>
      <c r="D415" s="1"/>
      <c r="E415" s="3"/>
      <c r="F415" s="5">
        <v>0</v>
      </c>
      <c r="G415" s="4"/>
      <c r="I415">
        <f t="shared" si="6"/>
        <v>0</v>
      </c>
      <c r="M415">
        <v>0</v>
      </c>
      <c r="AO415" s="3"/>
      <c r="AP415" s="3"/>
    </row>
    <row r="416" spans="1:42">
      <c r="A416" s="4">
        <f>-SUM(J416:AN416)</f>
        <v>0</v>
      </c>
      <c r="B416" t="s">
        <v>463</v>
      </c>
      <c r="C416" t="s">
        <v>43</v>
      </c>
      <c r="D416"/>
      <c r="E416" s="3"/>
      <c r="F416" s="8">
        <v>6</v>
      </c>
      <c r="G416" s="4"/>
      <c r="I416">
        <f t="shared" si="6"/>
        <v>6</v>
      </c>
      <c r="M416">
        <v>0</v>
      </c>
      <c r="AO416" s="3"/>
      <c r="AP416" s="3"/>
    </row>
    <row r="417" spans="1:42">
      <c r="A417" s="4">
        <f>-SUM(J417:AN417)</f>
        <v>0</v>
      </c>
      <c r="B417" t="s">
        <v>464</v>
      </c>
      <c r="E417" s="3"/>
      <c r="F417" s="8"/>
      <c r="G417" s="4"/>
      <c r="I417">
        <f t="shared" si="6"/>
        <v>0</v>
      </c>
      <c r="M417">
        <v>0</v>
      </c>
      <c r="AO417" s="3"/>
      <c r="AP417" s="3"/>
    </row>
    <row r="418" spans="1:42">
      <c r="A418" s="4">
        <f>-SUM(J418:AN418)</f>
        <v>0</v>
      </c>
      <c r="B418" t="s">
        <v>465</v>
      </c>
      <c r="E418" s="3"/>
      <c r="F418" s="8"/>
      <c r="G418" s="4"/>
      <c r="I418">
        <f t="shared" si="6"/>
        <v>0</v>
      </c>
      <c r="M418">
        <v>0</v>
      </c>
      <c r="AO418" s="3"/>
      <c r="AP418" s="3"/>
    </row>
    <row r="419" spans="1:42">
      <c r="A419" s="4">
        <f>-SUM(J419:AN419)</f>
        <v>0</v>
      </c>
      <c r="B419" t="s">
        <v>466</v>
      </c>
      <c r="E419" s="3"/>
      <c r="F419" s="8"/>
      <c r="G419" s="4"/>
      <c r="I419">
        <f t="shared" si="6"/>
        <v>0</v>
      </c>
      <c r="M419">
        <v>0</v>
      </c>
      <c r="AO419" s="3"/>
      <c r="AP419" s="3"/>
    </row>
    <row r="420" spans="1:42">
      <c r="A420" s="4">
        <f>-SUM(J420:AN420)</f>
        <v>0</v>
      </c>
      <c r="B420" t="s">
        <v>467</v>
      </c>
      <c r="E420" s="3"/>
      <c r="F420" s="8"/>
      <c r="G420" s="4"/>
      <c r="I420">
        <f t="shared" si="6"/>
        <v>0</v>
      </c>
      <c r="M420">
        <v>0</v>
      </c>
      <c r="AO420" s="3"/>
      <c r="AP420" s="3"/>
    </row>
    <row r="421" spans="1:42">
      <c r="A421" s="4">
        <f>-SUM(J421:AN421)</f>
        <v>0</v>
      </c>
      <c r="B421" t="s">
        <v>468</v>
      </c>
      <c r="E421" s="3"/>
      <c r="F421" s="8"/>
      <c r="G421" s="4"/>
      <c r="I421">
        <f t="shared" si="6"/>
        <v>0</v>
      </c>
      <c r="M421">
        <v>0</v>
      </c>
      <c r="AO421" s="3"/>
      <c r="AP421" s="3"/>
    </row>
    <row r="422" spans="1:42">
      <c r="A422" s="4">
        <f>-SUM(J422:AN422)</f>
        <v>0</v>
      </c>
      <c r="B422" t="s">
        <v>469</v>
      </c>
      <c r="E422" s="3"/>
      <c r="F422" s="8"/>
      <c r="G422" s="4"/>
      <c r="I422">
        <f t="shared" si="6"/>
        <v>0</v>
      </c>
      <c r="M422">
        <v>0</v>
      </c>
      <c r="AO422" s="3"/>
      <c r="AP422" s="3"/>
    </row>
    <row r="423" spans="1:42">
      <c r="A423" s="4">
        <f>-SUM(J423:AN423)</f>
        <v>0</v>
      </c>
      <c r="B423" t="s">
        <v>470</v>
      </c>
      <c r="E423" s="3"/>
      <c r="F423" s="6"/>
      <c r="G423" s="4"/>
      <c r="I423">
        <f t="shared" si="6"/>
        <v>0</v>
      </c>
      <c r="M423">
        <v>0</v>
      </c>
      <c r="AO423" s="3"/>
      <c r="AP423" s="3"/>
    </row>
    <row r="424" spans="1:42">
      <c r="A424" s="4">
        <f>-SUM(J424:AN424)</f>
        <v>0</v>
      </c>
      <c r="B424" t="s">
        <v>471</v>
      </c>
      <c r="E424" s="3"/>
      <c r="F424" s="6"/>
      <c r="G424" s="4"/>
      <c r="I424">
        <f t="shared" si="6"/>
        <v>0</v>
      </c>
      <c r="M424">
        <v>0</v>
      </c>
      <c r="AO424" s="3"/>
      <c r="AP424" s="3"/>
    </row>
    <row r="425" spans="1:42">
      <c r="A425" s="4">
        <f>-SUM(J425:AN425)</f>
        <v>0</v>
      </c>
      <c r="B425" t="s">
        <v>472</v>
      </c>
      <c r="E425" s="3"/>
      <c r="F425" s="6"/>
      <c r="G425" s="4"/>
      <c r="I425">
        <f t="shared" si="6"/>
        <v>0</v>
      </c>
      <c r="M425">
        <v>0</v>
      </c>
      <c r="AO425" s="3"/>
      <c r="AP425" s="3"/>
    </row>
    <row r="426" spans="1:42">
      <c r="A426" s="4">
        <f>-SUM(J426:AN426)</f>
        <v>0</v>
      </c>
      <c r="B426" t="s">
        <v>473</v>
      </c>
      <c r="E426" s="3"/>
      <c r="F426" s="6"/>
      <c r="G426" s="4"/>
      <c r="I426">
        <f t="shared" si="6"/>
        <v>0</v>
      </c>
      <c r="M426">
        <v>0</v>
      </c>
      <c r="AO426" s="3"/>
      <c r="AP426" s="3"/>
    </row>
    <row r="427" spans="1:42">
      <c r="A427" s="4">
        <f>-SUM(J427:AN427)</f>
        <v>0</v>
      </c>
      <c r="B427" t="s">
        <v>474</v>
      </c>
      <c r="E427" s="3"/>
      <c r="F427" s="6"/>
      <c r="G427" s="4"/>
      <c r="I427">
        <f t="shared" si="6"/>
        <v>0</v>
      </c>
      <c r="M427">
        <v>0</v>
      </c>
      <c r="AO427" s="3"/>
      <c r="AP427" s="3"/>
    </row>
    <row r="428" spans="1:42">
      <c r="A428" s="4">
        <f>-SUM(J428:AN428)</f>
        <v>0</v>
      </c>
      <c r="B428" t="s">
        <v>475</v>
      </c>
      <c r="E428" s="3"/>
      <c r="F428" s="6"/>
      <c r="G428" s="4"/>
      <c r="I428">
        <f t="shared" si="6"/>
        <v>0</v>
      </c>
      <c r="M428">
        <v>0</v>
      </c>
      <c r="AO428" s="3"/>
      <c r="AP428" s="3"/>
    </row>
    <row r="429" spans="1:42">
      <c r="A429" s="4">
        <f>-SUM(J429:AN429)</f>
        <v>0</v>
      </c>
      <c r="B429" t="s">
        <v>476</v>
      </c>
      <c r="E429" s="3"/>
      <c r="F429" s="6"/>
      <c r="G429" s="4"/>
      <c r="I429">
        <f t="shared" si="6"/>
        <v>0</v>
      </c>
      <c r="M429">
        <v>0</v>
      </c>
      <c r="AO429" s="3"/>
      <c r="AP429" s="3"/>
    </row>
    <row r="430" spans="1:42">
      <c r="A430" s="4">
        <f>-SUM(J430:AN430)</f>
        <v>0</v>
      </c>
      <c r="B430" t="s">
        <v>477</v>
      </c>
      <c r="E430" s="3"/>
      <c r="F430" s="6"/>
      <c r="G430" s="4"/>
      <c r="I430">
        <f t="shared" si="6"/>
        <v>0</v>
      </c>
      <c r="M430">
        <v>0</v>
      </c>
      <c r="AO430" s="3"/>
      <c r="AP430" s="3"/>
    </row>
    <row r="431" spans="1:42">
      <c r="A431" s="4">
        <f>-SUM(J431:AN431)</f>
        <v>0</v>
      </c>
      <c r="B431" t="s">
        <v>478</v>
      </c>
      <c r="C431" t="s">
        <v>82</v>
      </c>
      <c r="D431"/>
      <c r="E431" s="3"/>
      <c r="F431" s="6">
        <v>38</v>
      </c>
      <c r="G431" s="4"/>
      <c r="I431">
        <f t="shared" si="6"/>
        <v>38</v>
      </c>
      <c r="M431">
        <v>0</v>
      </c>
      <c r="AO431" s="3"/>
      <c r="AP431" s="3"/>
    </row>
    <row r="432" spans="1:42">
      <c r="A432" s="4">
        <f>-SUM(J432:AN432)</f>
        <v>0</v>
      </c>
      <c r="B432" t="s">
        <v>479</v>
      </c>
      <c r="C432" t="s">
        <v>43</v>
      </c>
      <c r="D432"/>
      <c r="E432" s="3"/>
      <c r="F432" s="6">
        <v>27</v>
      </c>
      <c r="G432" s="4"/>
      <c r="I432">
        <f t="shared" si="6"/>
        <v>27</v>
      </c>
      <c r="M432">
        <v>0</v>
      </c>
      <c r="AO432" s="3"/>
      <c r="AP432" s="3"/>
    </row>
    <row r="433" spans="1:43">
      <c r="A433" s="4">
        <f>-SUM(J433:AN433)</f>
        <v>0</v>
      </c>
      <c r="B433" t="s">
        <v>480</v>
      </c>
      <c r="C433" t="s">
        <v>43</v>
      </c>
      <c r="D433"/>
      <c r="E433" s="3"/>
      <c r="F433" s="6">
        <v>75</v>
      </c>
      <c r="G433" s="4"/>
      <c r="I433">
        <f t="shared" si="6"/>
        <v>75</v>
      </c>
      <c r="M433">
        <v>0</v>
      </c>
      <c r="AO433" s="3"/>
      <c r="AP433" s="3"/>
    </row>
    <row r="434" spans="1:43">
      <c r="A434" s="4">
        <f>-SUM(J434:AN434)</f>
        <v>0</v>
      </c>
      <c r="B434" t="s">
        <v>481</v>
      </c>
      <c r="C434" t="s">
        <v>46</v>
      </c>
      <c r="D434"/>
      <c r="E434" s="3"/>
      <c r="F434" s="6">
        <v>0</v>
      </c>
      <c r="G434" s="4"/>
      <c r="I434">
        <f t="shared" si="6"/>
        <v>0</v>
      </c>
      <c r="M434">
        <v>0</v>
      </c>
      <c r="AO434" s="3"/>
      <c r="AP434" s="3"/>
    </row>
    <row r="435" spans="1:43">
      <c r="A435" s="4">
        <f>-SUM(J435:AN435)</f>
        <v>0</v>
      </c>
      <c r="B435" t="s">
        <v>482</v>
      </c>
      <c r="C435" t="s">
        <v>46</v>
      </c>
      <c r="D435"/>
      <c r="E435" s="3"/>
      <c r="F435" s="6">
        <v>0</v>
      </c>
      <c r="G435" s="4"/>
      <c r="I435">
        <f t="shared" si="6"/>
        <v>0</v>
      </c>
      <c r="M435">
        <v>0</v>
      </c>
      <c r="AO435" s="3"/>
      <c r="AP435" s="3"/>
    </row>
    <row r="436" spans="1:43">
      <c r="A436" s="4">
        <f>-SUM(J436:AN436)</f>
        <v>0</v>
      </c>
      <c r="B436" t="s">
        <v>483</v>
      </c>
      <c r="C436" t="s">
        <v>54</v>
      </c>
      <c r="D436"/>
      <c r="E436" s="3"/>
      <c r="F436" s="6">
        <v>23</v>
      </c>
      <c r="G436" s="4"/>
      <c r="I436">
        <f t="shared" si="6"/>
        <v>23</v>
      </c>
      <c r="M436">
        <v>0</v>
      </c>
      <c r="AO436" s="3"/>
      <c r="AP436" s="3"/>
    </row>
    <row r="437" spans="1:43">
      <c r="A437" s="4">
        <f>-SUM(J437:AN437)</f>
        <v>0</v>
      </c>
      <c r="B437" t="s">
        <v>484</v>
      </c>
      <c r="C437" t="s">
        <v>485</v>
      </c>
      <c r="D437"/>
      <c r="E437" s="3"/>
      <c r="F437" s="6">
        <v>33</v>
      </c>
      <c r="G437" s="4"/>
      <c r="I437">
        <f t="shared" si="6"/>
        <v>33</v>
      </c>
      <c r="M437">
        <v>0</v>
      </c>
      <c r="AO437" s="3"/>
      <c r="AP437" s="3"/>
    </row>
    <row r="438" spans="1:43">
      <c r="A438" s="4">
        <f>-SUM(J438:AN438)</f>
        <v>0</v>
      </c>
      <c r="B438" t="s">
        <v>486</v>
      </c>
      <c r="C438" t="s">
        <v>54</v>
      </c>
      <c r="D438"/>
      <c r="E438" s="3"/>
      <c r="F438" s="6">
        <v>15</v>
      </c>
      <c r="G438" s="4"/>
      <c r="I438">
        <f t="shared" si="6"/>
        <v>15</v>
      </c>
      <c r="M438">
        <v>0</v>
      </c>
      <c r="AO438" s="3"/>
      <c r="AP438" s="3"/>
    </row>
    <row r="439" spans="1:43">
      <c r="A439" s="4">
        <f>-SUM(J439:AN439)</f>
        <v>0</v>
      </c>
      <c r="B439" t="s">
        <v>487</v>
      </c>
      <c r="C439" t="s">
        <v>54</v>
      </c>
      <c r="D439"/>
      <c r="E439" s="3"/>
      <c r="F439" s="6">
        <v>11</v>
      </c>
      <c r="G439" s="4"/>
      <c r="I439">
        <f t="shared" si="6"/>
        <v>11</v>
      </c>
      <c r="M439">
        <v>0</v>
      </c>
      <c r="AO439" s="3"/>
      <c r="AP439" s="3"/>
      <c r="AQ439" s="3"/>
    </row>
    <row r="440" spans="1:43">
      <c r="A440" s="4">
        <f>-SUM(J440:AN440)</f>
        <v>0</v>
      </c>
      <c r="B440" t="s">
        <v>488</v>
      </c>
      <c r="C440" t="s">
        <v>46</v>
      </c>
      <c r="D440"/>
      <c r="E440" s="3"/>
      <c r="F440" s="6">
        <v>0</v>
      </c>
      <c r="G440" s="4"/>
      <c r="I440">
        <f t="shared" si="6"/>
        <v>0</v>
      </c>
      <c r="M440">
        <v>0</v>
      </c>
      <c r="AO440" s="3"/>
      <c r="AP440" s="3"/>
      <c r="AQ440" s="3"/>
    </row>
    <row r="441" spans="1:43">
      <c r="A441" s="4">
        <f>-SUM(J441:AN441)</f>
        <v>0</v>
      </c>
      <c r="B441" t="s">
        <v>489</v>
      </c>
      <c r="C441" t="s">
        <v>54</v>
      </c>
      <c r="D441"/>
      <c r="E441" s="3"/>
      <c r="F441" s="6">
        <v>63</v>
      </c>
      <c r="G441" s="4"/>
      <c r="I441">
        <f t="shared" si="6"/>
        <v>63</v>
      </c>
      <c r="M441">
        <v>0</v>
      </c>
      <c r="AO441" s="3"/>
      <c r="AP441" s="3"/>
      <c r="AQ441" s="3"/>
    </row>
    <row r="442" spans="1:43">
      <c r="A442" s="4">
        <f>-SUM(J442:AN442)</f>
        <v>0</v>
      </c>
      <c r="B442" t="s">
        <v>490</v>
      </c>
      <c r="C442" t="s">
        <v>46</v>
      </c>
      <c r="D442"/>
      <c r="E442" s="3"/>
      <c r="F442" s="6">
        <v>0</v>
      </c>
      <c r="G442" s="4"/>
      <c r="I442">
        <f t="shared" si="6"/>
        <v>0</v>
      </c>
      <c r="M442">
        <v>0</v>
      </c>
      <c r="AO442" s="3"/>
      <c r="AP442" s="3"/>
      <c r="AQ442" s="3"/>
    </row>
    <row r="443" spans="1:43">
      <c r="A443" s="4">
        <f>-SUM(J443:AN443)</f>
        <v>0</v>
      </c>
      <c r="B443" t="s">
        <v>491</v>
      </c>
      <c r="C443" t="s">
        <v>54</v>
      </c>
      <c r="D443"/>
      <c r="E443" s="3"/>
      <c r="F443" s="6">
        <v>457</v>
      </c>
      <c r="G443" s="4"/>
      <c r="I443">
        <f t="shared" si="6"/>
        <v>457</v>
      </c>
      <c r="M443">
        <v>0</v>
      </c>
      <c r="AO443" s="3"/>
      <c r="AP443" s="3"/>
      <c r="AQ443" s="3"/>
    </row>
    <row r="444" spans="1:43">
      <c r="A444" s="4">
        <f>-SUM(J444:AN444)</f>
        <v>0</v>
      </c>
      <c r="B444" t="s">
        <v>492</v>
      </c>
      <c r="C444" t="s">
        <v>54</v>
      </c>
      <c r="D444"/>
      <c r="E444" s="3"/>
      <c r="F444" s="6">
        <v>8</v>
      </c>
      <c r="G444" s="4"/>
      <c r="I444">
        <f t="shared" si="6"/>
        <v>8</v>
      </c>
      <c r="M444">
        <v>0</v>
      </c>
      <c r="AO444" s="3"/>
      <c r="AP444" s="3"/>
      <c r="AQ444" s="3"/>
    </row>
    <row r="445" spans="1:43">
      <c r="A445" s="4">
        <f>-SUM(J445:AN445)</f>
        <v>0</v>
      </c>
      <c r="B445" t="s">
        <v>493</v>
      </c>
      <c r="C445" t="s">
        <v>54</v>
      </c>
      <c r="D445"/>
      <c r="E445" s="3"/>
      <c r="F445" s="6">
        <v>72</v>
      </c>
      <c r="G445" s="4"/>
      <c r="I445">
        <f t="shared" si="6"/>
        <v>72</v>
      </c>
      <c r="M445">
        <v>0</v>
      </c>
      <c r="AO445" s="3"/>
      <c r="AP445" s="3"/>
      <c r="AQ445" s="3"/>
    </row>
    <row r="446" spans="1:43">
      <c r="A446" s="4">
        <f>-SUM(J446:AN446)</f>
        <v>0</v>
      </c>
      <c r="B446" t="s">
        <v>494</v>
      </c>
      <c r="C446" t="s">
        <v>54</v>
      </c>
      <c r="D446"/>
      <c r="E446" s="3"/>
      <c r="F446" s="6">
        <v>153</v>
      </c>
      <c r="G446" s="4"/>
      <c r="I446">
        <f t="shared" si="6"/>
        <v>153</v>
      </c>
      <c r="M446">
        <v>0</v>
      </c>
      <c r="AO446" s="3"/>
      <c r="AP446" s="3"/>
      <c r="AQ446" s="3"/>
    </row>
    <row r="447" spans="1:43">
      <c r="A447" s="4">
        <f>-SUM(J447:AN447)</f>
        <v>0</v>
      </c>
      <c r="B447" t="s">
        <v>495</v>
      </c>
      <c r="C447" t="s">
        <v>54</v>
      </c>
      <c r="D447"/>
      <c r="E447" s="3"/>
      <c r="F447" s="6">
        <v>54</v>
      </c>
      <c r="G447" s="4"/>
      <c r="I447">
        <f t="shared" si="6"/>
        <v>54</v>
      </c>
      <c r="M447">
        <v>0</v>
      </c>
      <c r="AO447" s="3"/>
      <c r="AP447" s="3"/>
      <c r="AQ447" s="3"/>
    </row>
    <row r="448" spans="1:43">
      <c r="A448" s="4">
        <f>-SUM(J448:AN448)</f>
        <v>0</v>
      </c>
      <c r="B448" t="s">
        <v>496</v>
      </c>
      <c r="C448" t="s">
        <v>121</v>
      </c>
      <c r="D448"/>
      <c r="E448" s="3"/>
      <c r="F448" s="6">
        <v>25</v>
      </c>
      <c r="G448" s="4"/>
      <c r="I448">
        <f t="shared" si="6"/>
        <v>25</v>
      </c>
      <c r="M448">
        <v>0</v>
      </c>
      <c r="AO448" s="3"/>
      <c r="AP448" s="3"/>
      <c r="AQ448" s="3"/>
    </row>
    <row r="449" spans="1:43">
      <c r="A449" s="4">
        <f>-SUM(J449:AN449)</f>
        <v>0</v>
      </c>
      <c r="B449" t="s">
        <v>497</v>
      </c>
      <c r="E449" s="3"/>
      <c r="F449" s="6"/>
      <c r="G449" s="4"/>
      <c r="I449">
        <f t="shared" si="6"/>
        <v>0</v>
      </c>
      <c r="M449">
        <v>0</v>
      </c>
      <c r="AO449" s="3"/>
      <c r="AP449" s="3"/>
      <c r="AQ449" s="3"/>
    </row>
    <row r="450" spans="1:43">
      <c r="A450" s="4">
        <f>-SUM(J450:AN450)</f>
        <v>0</v>
      </c>
      <c r="B450" t="s">
        <v>498</v>
      </c>
      <c r="C450" t="s">
        <v>43</v>
      </c>
      <c r="D450"/>
      <c r="E450" s="3"/>
      <c r="F450" s="6">
        <v>768</v>
      </c>
      <c r="G450" s="4"/>
      <c r="I450">
        <f t="shared" ref="I450:I513" si="7">SUM(F450+G450-E450,J450:AN450)</f>
        <v>768</v>
      </c>
      <c r="M450">
        <v>0</v>
      </c>
      <c r="AO450" s="3"/>
      <c r="AP450" s="3"/>
      <c r="AQ450" s="3"/>
    </row>
    <row r="451" spans="1:43">
      <c r="A451" s="4">
        <f>-SUM(J451:AN451)</f>
        <v>0</v>
      </c>
      <c r="B451" t="s">
        <v>499</v>
      </c>
      <c r="C451" t="s">
        <v>43</v>
      </c>
      <c r="D451"/>
      <c r="E451" s="3"/>
      <c r="F451" s="6">
        <v>304</v>
      </c>
      <c r="G451" s="4"/>
      <c r="I451">
        <f t="shared" si="7"/>
        <v>304</v>
      </c>
      <c r="M451">
        <v>0</v>
      </c>
      <c r="AO451" s="3"/>
      <c r="AP451" s="3"/>
      <c r="AQ451" s="3"/>
    </row>
    <row r="452" spans="1:43">
      <c r="A452" s="4">
        <f>-SUM(J452:AN452)</f>
        <v>0</v>
      </c>
      <c r="B452" t="s">
        <v>499</v>
      </c>
      <c r="E452" s="3"/>
      <c r="F452" s="6"/>
      <c r="G452" s="4"/>
      <c r="I452">
        <f t="shared" si="7"/>
        <v>0</v>
      </c>
      <c r="M452">
        <v>0</v>
      </c>
      <c r="AO452" s="3"/>
      <c r="AP452" s="3"/>
      <c r="AQ452" s="3"/>
    </row>
    <row r="453" spans="1:43">
      <c r="A453" s="4">
        <f>-SUM(J453:AN453)</f>
        <v>0</v>
      </c>
      <c r="B453" t="s">
        <v>500</v>
      </c>
      <c r="C453" t="s">
        <v>46</v>
      </c>
      <c r="D453"/>
      <c r="E453" s="3"/>
      <c r="F453" s="6">
        <v>0</v>
      </c>
      <c r="G453" s="4"/>
      <c r="I453">
        <f t="shared" si="7"/>
        <v>0</v>
      </c>
      <c r="M453">
        <v>0</v>
      </c>
      <c r="AO453" s="3"/>
      <c r="AP453" s="3"/>
      <c r="AQ453" s="3"/>
    </row>
    <row r="454" spans="1:43">
      <c r="A454" s="4">
        <f>-SUM(J454:AN454)</f>
        <v>0</v>
      </c>
      <c r="B454" t="s">
        <v>501</v>
      </c>
      <c r="C454" t="s">
        <v>43</v>
      </c>
      <c r="D454"/>
      <c r="E454" s="3"/>
      <c r="F454" s="6">
        <v>30</v>
      </c>
      <c r="G454" s="4"/>
      <c r="I454">
        <f t="shared" si="7"/>
        <v>30</v>
      </c>
      <c r="M454">
        <v>0</v>
      </c>
      <c r="AO454" s="3"/>
      <c r="AP454" s="3"/>
      <c r="AQ454" s="3"/>
    </row>
    <row r="455" spans="1:43">
      <c r="A455" s="4">
        <f>-SUM(J455:AN455)</f>
        <v>0</v>
      </c>
      <c r="B455" t="s">
        <v>502</v>
      </c>
      <c r="C455" t="s">
        <v>43</v>
      </c>
      <c r="D455"/>
      <c r="E455" s="3"/>
      <c r="F455" s="6">
        <v>75</v>
      </c>
      <c r="G455" s="4"/>
      <c r="I455">
        <f t="shared" si="7"/>
        <v>75</v>
      </c>
      <c r="M455">
        <v>0</v>
      </c>
      <c r="AO455" s="3"/>
      <c r="AP455" s="3"/>
      <c r="AQ455" s="3"/>
    </row>
    <row r="456" spans="1:43">
      <c r="A456" s="4">
        <f>-SUM(J456:AN456)</f>
        <v>0</v>
      </c>
      <c r="B456" t="s">
        <v>503</v>
      </c>
      <c r="C456" t="s">
        <v>43</v>
      </c>
      <c r="D456"/>
      <c r="E456" s="3"/>
      <c r="F456" s="6">
        <v>4</v>
      </c>
      <c r="G456" s="4"/>
      <c r="I456">
        <f t="shared" si="7"/>
        <v>4</v>
      </c>
      <c r="M456">
        <v>0</v>
      </c>
      <c r="AO456" s="3"/>
      <c r="AP456" s="3"/>
      <c r="AQ456" s="3"/>
    </row>
    <row r="457" spans="1:43">
      <c r="A457" s="4">
        <f>-SUM(J457:AN457)</f>
        <v>0</v>
      </c>
      <c r="B457" t="s">
        <v>504</v>
      </c>
      <c r="C457" t="s">
        <v>43</v>
      </c>
      <c r="D457"/>
      <c r="E457" s="3"/>
      <c r="F457" s="6">
        <v>50</v>
      </c>
      <c r="G457" s="4"/>
      <c r="I457">
        <f t="shared" si="7"/>
        <v>50</v>
      </c>
      <c r="M457">
        <v>0</v>
      </c>
      <c r="AO457" s="3"/>
      <c r="AP457" s="3"/>
      <c r="AQ457" s="3"/>
    </row>
    <row r="458" spans="1:43">
      <c r="A458" s="4">
        <f>-SUM(J458:AN458)</f>
        <v>0</v>
      </c>
      <c r="B458" t="s">
        <v>505</v>
      </c>
      <c r="C458" t="s">
        <v>43</v>
      </c>
      <c r="D458"/>
      <c r="E458" s="3"/>
      <c r="F458" s="6">
        <v>3</v>
      </c>
      <c r="G458" s="4"/>
      <c r="I458">
        <f t="shared" si="7"/>
        <v>3</v>
      </c>
      <c r="M458">
        <v>0</v>
      </c>
      <c r="AO458" s="3"/>
      <c r="AP458" s="3"/>
      <c r="AQ458" s="3"/>
    </row>
    <row r="459" spans="1:43">
      <c r="A459" s="4">
        <f>-SUM(J459:AN459)</f>
        <v>0</v>
      </c>
      <c r="B459" t="s">
        <v>506</v>
      </c>
      <c r="C459" t="s">
        <v>43</v>
      </c>
      <c r="D459"/>
      <c r="E459" s="3"/>
      <c r="F459" s="6">
        <v>80</v>
      </c>
      <c r="G459" s="4"/>
      <c r="I459">
        <f t="shared" si="7"/>
        <v>80</v>
      </c>
      <c r="M459">
        <v>0</v>
      </c>
      <c r="AO459" s="3"/>
      <c r="AP459" s="3"/>
      <c r="AQ459" s="3"/>
    </row>
    <row r="460" spans="1:43">
      <c r="A460" s="4">
        <f>-SUM(J460:AN460)</f>
        <v>0</v>
      </c>
      <c r="B460" t="s">
        <v>507</v>
      </c>
      <c r="C460" t="s">
        <v>43</v>
      </c>
      <c r="D460"/>
      <c r="E460" s="3"/>
      <c r="F460" s="6">
        <v>140</v>
      </c>
      <c r="G460" s="4"/>
      <c r="I460">
        <f t="shared" si="7"/>
        <v>140</v>
      </c>
      <c r="M460">
        <v>0</v>
      </c>
      <c r="AO460" s="3"/>
      <c r="AP460" s="3"/>
      <c r="AQ460" s="3"/>
    </row>
    <row r="461" spans="1:43">
      <c r="A461" s="4">
        <f>-SUM(J461:AN461)</f>
        <v>0</v>
      </c>
      <c r="B461" t="s">
        <v>508</v>
      </c>
      <c r="C461" t="s">
        <v>46</v>
      </c>
      <c r="D461"/>
      <c r="E461" s="3"/>
      <c r="F461" s="6">
        <v>0</v>
      </c>
      <c r="G461" s="4"/>
      <c r="I461">
        <f t="shared" si="7"/>
        <v>0</v>
      </c>
      <c r="M461">
        <v>0</v>
      </c>
      <c r="AO461" s="3"/>
      <c r="AP461" s="3"/>
      <c r="AQ461" s="3"/>
    </row>
    <row r="462" spans="1:43">
      <c r="A462" s="4">
        <f>-SUM(J462:AN462)</f>
        <v>0</v>
      </c>
      <c r="B462" t="s">
        <v>509</v>
      </c>
      <c r="C462" t="s">
        <v>43</v>
      </c>
      <c r="D462"/>
      <c r="E462" s="3"/>
      <c r="F462" s="6">
        <v>420</v>
      </c>
      <c r="G462" s="4"/>
      <c r="I462">
        <f t="shared" si="7"/>
        <v>420</v>
      </c>
      <c r="M462">
        <v>0</v>
      </c>
      <c r="AO462" s="3"/>
      <c r="AP462" s="3"/>
      <c r="AQ462" s="3"/>
    </row>
    <row r="463" spans="1:43">
      <c r="A463" s="4">
        <f>-SUM(J463:AN463)</f>
        <v>0</v>
      </c>
      <c r="B463" t="s">
        <v>510</v>
      </c>
      <c r="C463" t="s">
        <v>43</v>
      </c>
      <c r="D463"/>
      <c r="E463" s="3"/>
      <c r="F463" s="6">
        <v>280</v>
      </c>
      <c r="G463" s="4"/>
      <c r="I463">
        <f t="shared" si="7"/>
        <v>280</v>
      </c>
      <c r="M463">
        <v>0</v>
      </c>
      <c r="AO463" s="3"/>
      <c r="AP463" s="3"/>
      <c r="AQ463" s="3"/>
    </row>
    <row r="464" spans="1:43">
      <c r="A464" s="4">
        <f>-SUM(J464:AN464)</f>
        <v>0</v>
      </c>
      <c r="B464" t="s">
        <v>511</v>
      </c>
      <c r="C464" t="s">
        <v>43</v>
      </c>
      <c r="D464"/>
      <c r="E464" s="3"/>
      <c r="F464" s="6">
        <v>194</v>
      </c>
      <c r="G464" s="4"/>
      <c r="I464">
        <f t="shared" si="7"/>
        <v>194</v>
      </c>
      <c r="M464">
        <v>0</v>
      </c>
      <c r="AO464" s="3"/>
      <c r="AP464" s="3"/>
      <c r="AQ464" s="3"/>
    </row>
    <row r="465" spans="1:43">
      <c r="A465" s="4">
        <f>-SUM(J465:AN465)</f>
        <v>0</v>
      </c>
      <c r="B465" t="s">
        <v>512</v>
      </c>
      <c r="C465" t="s">
        <v>43</v>
      </c>
      <c r="D465"/>
      <c r="E465" s="3"/>
      <c r="F465" s="6">
        <v>64</v>
      </c>
      <c r="G465" s="4"/>
      <c r="I465">
        <f t="shared" si="7"/>
        <v>64</v>
      </c>
      <c r="M465">
        <v>0</v>
      </c>
      <c r="AO465" s="3"/>
      <c r="AP465" s="3"/>
      <c r="AQ465" s="3"/>
    </row>
    <row r="466" spans="1:43">
      <c r="A466" s="4">
        <f>-SUM(J466:AN466)</f>
        <v>0</v>
      </c>
      <c r="B466" t="s">
        <v>513</v>
      </c>
      <c r="C466" t="s">
        <v>43</v>
      </c>
      <c r="D466"/>
      <c r="E466" s="3"/>
      <c r="F466" s="6">
        <v>208</v>
      </c>
      <c r="G466" s="4"/>
      <c r="I466">
        <f t="shared" si="7"/>
        <v>208</v>
      </c>
      <c r="M466">
        <v>0</v>
      </c>
      <c r="AO466" s="3"/>
      <c r="AP466" s="3"/>
      <c r="AQ466" s="3"/>
    </row>
    <row r="467" spans="1:43">
      <c r="A467" s="4">
        <f>-SUM(J467:AN467)</f>
        <v>0</v>
      </c>
      <c r="B467" t="s">
        <v>514</v>
      </c>
      <c r="C467" t="s">
        <v>43</v>
      </c>
      <c r="D467"/>
      <c r="E467" s="3"/>
      <c r="F467" s="6">
        <v>55</v>
      </c>
      <c r="G467" s="4"/>
      <c r="I467">
        <f t="shared" si="7"/>
        <v>55</v>
      </c>
      <c r="M467">
        <v>0</v>
      </c>
      <c r="AO467" s="3"/>
      <c r="AP467" s="3"/>
      <c r="AQ467" s="3"/>
    </row>
    <row r="468" spans="1:43">
      <c r="A468" s="4">
        <f>-SUM(J468:AN468)</f>
        <v>0</v>
      </c>
      <c r="B468" t="s">
        <v>515</v>
      </c>
      <c r="C468" t="s">
        <v>43</v>
      </c>
      <c r="D468"/>
      <c r="E468" s="3"/>
      <c r="F468" s="6">
        <v>90</v>
      </c>
      <c r="G468" s="4"/>
      <c r="I468">
        <f t="shared" si="7"/>
        <v>90</v>
      </c>
      <c r="M468">
        <v>0</v>
      </c>
      <c r="AO468" s="3"/>
      <c r="AP468" s="3"/>
      <c r="AQ468" s="3"/>
    </row>
    <row r="469" spans="1:43">
      <c r="A469" s="4">
        <f>-SUM(J469:AN469)</f>
        <v>0</v>
      </c>
      <c r="B469" t="s">
        <v>516</v>
      </c>
      <c r="C469" t="s">
        <v>43</v>
      </c>
      <c r="D469"/>
      <c r="E469" s="3"/>
      <c r="F469" s="6">
        <v>15</v>
      </c>
      <c r="G469" s="4"/>
      <c r="I469">
        <f t="shared" si="7"/>
        <v>15</v>
      </c>
      <c r="M469">
        <v>0</v>
      </c>
      <c r="AO469" s="3"/>
      <c r="AP469" s="3"/>
      <c r="AQ469" s="3"/>
    </row>
    <row r="470" spans="1:43">
      <c r="A470" s="4">
        <f>-SUM(J470:AN470)</f>
        <v>0</v>
      </c>
      <c r="B470" t="s">
        <v>517</v>
      </c>
      <c r="C470" t="s">
        <v>43</v>
      </c>
      <c r="D470"/>
      <c r="E470" s="3"/>
      <c r="F470" s="6">
        <v>90</v>
      </c>
      <c r="G470" s="4"/>
      <c r="I470">
        <f t="shared" si="7"/>
        <v>90</v>
      </c>
      <c r="M470">
        <v>0</v>
      </c>
      <c r="AO470" s="3"/>
      <c r="AP470" s="3"/>
      <c r="AQ470" s="3"/>
    </row>
    <row r="471" spans="1:43">
      <c r="A471" s="4">
        <f>-SUM(J471:AN471)</f>
        <v>0</v>
      </c>
      <c r="B471" t="s">
        <v>518</v>
      </c>
      <c r="C471" t="s">
        <v>43</v>
      </c>
      <c r="D471"/>
      <c r="E471" s="3"/>
      <c r="F471" s="6">
        <v>50</v>
      </c>
      <c r="G471" s="4"/>
      <c r="I471">
        <f t="shared" si="7"/>
        <v>50</v>
      </c>
      <c r="M471">
        <v>0</v>
      </c>
      <c r="AO471" s="3"/>
      <c r="AP471" s="3"/>
      <c r="AQ471" s="3"/>
    </row>
    <row r="472" spans="1:43">
      <c r="A472" s="4">
        <f>-SUM(J472:AN472)</f>
        <v>0</v>
      </c>
      <c r="B472" t="s">
        <v>519</v>
      </c>
      <c r="C472" t="s">
        <v>43</v>
      </c>
      <c r="D472"/>
      <c r="E472" s="3"/>
      <c r="F472" s="6">
        <v>60</v>
      </c>
      <c r="G472" s="4"/>
      <c r="I472">
        <f t="shared" si="7"/>
        <v>60</v>
      </c>
      <c r="M472">
        <v>0</v>
      </c>
      <c r="AO472" s="3"/>
      <c r="AP472" s="3"/>
      <c r="AQ472" s="3"/>
    </row>
    <row r="473" spans="1:43">
      <c r="A473" s="4">
        <f>-SUM(J473:AN473)</f>
        <v>0</v>
      </c>
      <c r="B473" t="s">
        <v>520</v>
      </c>
      <c r="C473" t="s">
        <v>43</v>
      </c>
      <c r="D473"/>
      <c r="E473" s="3"/>
      <c r="F473" s="6">
        <v>40</v>
      </c>
      <c r="G473" s="4"/>
      <c r="I473">
        <f t="shared" si="7"/>
        <v>40</v>
      </c>
      <c r="M473">
        <v>0</v>
      </c>
      <c r="AO473" s="3"/>
      <c r="AP473" s="3"/>
      <c r="AQ473" s="3"/>
    </row>
    <row r="474" spans="1:43">
      <c r="A474" s="4">
        <f>-SUM(J474:AN474)</f>
        <v>0</v>
      </c>
      <c r="B474" t="s">
        <v>521</v>
      </c>
      <c r="C474" t="s">
        <v>43</v>
      </c>
      <c r="D474"/>
      <c r="E474" s="3"/>
      <c r="F474" s="6">
        <v>10</v>
      </c>
      <c r="G474" s="4"/>
      <c r="I474">
        <f t="shared" si="7"/>
        <v>10</v>
      </c>
      <c r="M474">
        <v>0</v>
      </c>
      <c r="AO474" s="3"/>
      <c r="AP474" s="3"/>
      <c r="AQ474" s="3"/>
    </row>
    <row r="475" spans="1:43">
      <c r="A475" s="4">
        <f>-SUM(J475:AN475)</f>
        <v>0</v>
      </c>
      <c r="B475" t="s">
        <v>522</v>
      </c>
      <c r="C475" t="s">
        <v>46</v>
      </c>
      <c r="D475"/>
      <c r="E475" s="3"/>
      <c r="F475" s="6">
        <v>0</v>
      </c>
      <c r="G475" s="4"/>
      <c r="I475">
        <f t="shared" si="7"/>
        <v>0</v>
      </c>
      <c r="M475">
        <v>0</v>
      </c>
      <c r="AO475" s="3"/>
      <c r="AP475" s="3"/>
      <c r="AQ475" s="3"/>
    </row>
    <row r="476" spans="1:43">
      <c r="A476" s="4">
        <f>-SUM(J476:AN476)</f>
        <v>0</v>
      </c>
      <c r="B476" t="s">
        <v>523</v>
      </c>
      <c r="C476" t="s">
        <v>43</v>
      </c>
      <c r="D476"/>
      <c r="E476" s="3"/>
      <c r="F476" s="6">
        <v>93</v>
      </c>
      <c r="G476" s="4"/>
      <c r="I476">
        <f t="shared" si="7"/>
        <v>93</v>
      </c>
      <c r="M476">
        <v>0</v>
      </c>
      <c r="AO476" s="3"/>
      <c r="AP476" s="3"/>
      <c r="AQ476" s="3"/>
    </row>
    <row r="477" spans="1:43">
      <c r="A477" s="4">
        <f>-SUM(J477:AN477)</f>
        <v>0</v>
      </c>
      <c r="B477" t="s">
        <v>524</v>
      </c>
      <c r="C477" t="s">
        <v>43</v>
      </c>
      <c r="D477"/>
      <c r="E477" s="3"/>
      <c r="F477" s="6">
        <v>23</v>
      </c>
      <c r="G477" s="4"/>
      <c r="I477">
        <f t="shared" si="7"/>
        <v>23</v>
      </c>
      <c r="M477">
        <v>0</v>
      </c>
      <c r="AO477" s="3"/>
      <c r="AP477" s="3"/>
      <c r="AQ477" s="3"/>
    </row>
    <row r="478" spans="1:43">
      <c r="A478" s="4">
        <f>-SUM(J478:AN478)</f>
        <v>0</v>
      </c>
      <c r="B478" t="s">
        <v>525</v>
      </c>
      <c r="C478" t="s">
        <v>43</v>
      </c>
      <c r="D478"/>
      <c r="E478" s="3"/>
      <c r="F478" s="6">
        <v>130</v>
      </c>
      <c r="G478" s="4"/>
      <c r="I478">
        <f t="shared" si="7"/>
        <v>130</v>
      </c>
      <c r="M478">
        <v>0</v>
      </c>
      <c r="AO478" s="3"/>
      <c r="AP478" s="3"/>
      <c r="AQ478" s="3"/>
    </row>
    <row r="479" spans="1:43">
      <c r="A479" s="4">
        <f>-SUM(J479:AN479)</f>
        <v>0</v>
      </c>
      <c r="B479" t="s">
        <v>526</v>
      </c>
      <c r="C479" t="s">
        <v>43</v>
      </c>
      <c r="D479"/>
      <c r="E479" s="3"/>
      <c r="F479" s="6"/>
      <c r="G479" s="4"/>
      <c r="I479">
        <f t="shared" si="7"/>
        <v>0</v>
      </c>
      <c r="M479">
        <v>0</v>
      </c>
      <c r="AO479" s="3"/>
      <c r="AP479" s="3"/>
      <c r="AQ479" s="3"/>
    </row>
    <row r="480" spans="1:43">
      <c r="A480" s="4">
        <f>-SUM(J480:AN480)</f>
        <v>0</v>
      </c>
      <c r="B480" t="s">
        <v>527</v>
      </c>
      <c r="C480" t="s">
        <v>43</v>
      </c>
      <c r="D480"/>
      <c r="E480" s="3"/>
      <c r="F480" s="6">
        <v>168</v>
      </c>
      <c r="G480" s="4"/>
      <c r="I480">
        <f t="shared" si="7"/>
        <v>168</v>
      </c>
      <c r="M480">
        <v>0</v>
      </c>
      <c r="AO480" s="3"/>
      <c r="AP480" s="3"/>
      <c r="AQ480" s="3"/>
    </row>
    <row r="481" spans="1:43">
      <c r="A481" s="4">
        <f>-SUM(J481:AN481)</f>
        <v>0</v>
      </c>
      <c r="B481" t="s">
        <v>528</v>
      </c>
      <c r="C481" t="s">
        <v>43</v>
      </c>
      <c r="D481"/>
      <c r="E481" s="3"/>
      <c r="F481" s="6">
        <v>98</v>
      </c>
      <c r="G481" s="4"/>
      <c r="I481">
        <f t="shared" si="7"/>
        <v>98</v>
      </c>
      <c r="M481">
        <v>0</v>
      </c>
      <c r="AO481" s="3"/>
      <c r="AP481" s="3"/>
      <c r="AQ481" s="3"/>
    </row>
    <row r="482" spans="1:43">
      <c r="A482" s="4">
        <f>-SUM(J482:AN482)</f>
        <v>0</v>
      </c>
      <c r="B482" t="s">
        <v>529</v>
      </c>
      <c r="C482" t="s">
        <v>43</v>
      </c>
      <c r="D482"/>
      <c r="E482" s="3"/>
      <c r="F482" s="6">
        <v>30</v>
      </c>
      <c r="G482" s="4"/>
      <c r="I482">
        <f t="shared" si="7"/>
        <v>30</v>
      </c>
      <c r="M482">
        <v>0</v>
      </c>
      <c r="AO482" s="3"/>
      <c r="AP482" s="3"/>
      <c r="AQ482" s="3"/>
    </row>
    <row r="483" spans="1:43">
      <c r="A483" s="4">
        <f>-SUM(J483:AN483)</f>
        <v>0</v>
      </c>
      <c r="B483" t="s">
        <v>530</v>
      </c>
      <c r="C483" t="s">
        <v>43</v>
      </c>
      <c r="D483"/>
      <c r="E483" s="3"/>
      <c r="F483" s="6">
        <v>362</v>
      </c>
      <c r="G483" s="4"/>
      <c r="I483">
        <f t="shared" si="7"/>
        <v>362</v>
      </c>
      <c r="M483">
        <v>0</v>
      </c>
      <c r="AO483" s="3"/>
      <c r="AP483" s="3"/>
      <c r="AQ483" s="3"/>
    </row>
    <row r="484" spans="1:43">
      <c r="A484" s="4">
        <f>-SUM(J484:AN484)</f>
        <v>0</v>
      </c>
      <c r="B484" t="s">
        <v>531</v>
      </c>
      <c r="C484" t="s">
        <v>43</v>
      </c>
      <c r="D484"/>
      <c r="E484" s="3"/>
      <c r="F484" s="6">
        <v>230</v>
      </c>
      <c r="G484" s="4"/>
      <c r="I484">
        <f t="shared" si="7"/>
        <v>230</v>
      </c>
      <c r="M484">
        <v>0</v>
      </c>
      <c r="AO484" s="3"/>
      <c r="AP484" s="3"/>
      <c r="AQ484" s="3"/>
    </row>
    <row r="485" spans="1:43">
      <c r="A485" s="4">
        <f>-SUM(J485:AN485)</f>
        <v>0</v>
      </c>
      <c r="B485" t="s">
        <v>532</v>
      </c>
      <c r="C485" t="s">
        <v>43</v>
      </c>
      <c r="D485"/>
      <c r="E485" s="3"/>
      <c r="F485" s="6">
        <v>100</v>
      </c>
      <c r="G485" s="4"/>
      <c r="I485">
        <f t="shared" si="7"/>
        <v>100</v>
      </c>
      <c r="M485">
        <v>0</v>
      </c>
      <c r="AO485" s="3"/>
      <c r="AP485" s="3"/>
      <c r="AQ485" s="3"/>
    </row>
    <row r="486" spans="1:43">
      <c r="A486" s="4">
        <f>-SUM(J486:AN486)</f>
        <v>0</v>
      </c>
      <c r="B486" t="s">
        <v>533</v>
      </c>
      <c r="C486" t="s">
        <v>43</v>
      </c>
      <c r="D486"/>
      <c r="E486" s="3"/>
      <c r="F486" s="6">
        <v>50</v>
      </c>
      <c r="G486" s="4"/>
      <c r="I486">
        <f t="shared" si="7"/>
        <v>50</v>
      </c>
      <c r="M486">
        <v>0</v>
      </c>
      <c r="AO486" s="3"/>
      <c r="AP486" s="3"/>
      <c r="AQ486" s="3"/>
    </row>
    <row r="487" spans="1:43">
      <c r="A487" s="4">
        <f>-SUM(J487:AN487)</f>
        <v>0</v>
      </c>
      <c r="B487" t="s">
        <v>534</v>
      </c>
      <c r="C487" t="s">
        <v>43</v>
      </c>
      <c r="D487"/>
      <c r="E487" s="3"/>
      <c r="F487" s="6">
        <v>77</v>
      </c>
      <c r="G487" s="4"/>
      <c r="I487">
        <f t="shared" si="7"/>
        <v>77</v>
      </c>
      <c r="M487">
        <v>0</v>
      </c>
      <c r="AO487" s="3"/>
      <c r="AP487" s="3"/>
      <c r="AQ487" s="3"/>
    </row>
    <row r="488" spans="1:43">
      <c r="A488" s="4">
        <f>-SUM(J488:AN488)</f>
        <v>0</v>
      </c>
      <c r="B488" t="s">
        <v>535</v>
      </c>
      <c r="C488" t="s">
        <v>43</v>
      </c>
      <c r="D488"/>
      <c r="E488" s="3"/>
      <c r="F488" s="6">
        <v>70</v>
      </c>
      <c r="G488" s="4"/>
      <c r="I488">
        <f t="shared" si="7"/>
        <v>70</v>
      </c>
      <c r="M488">
        <v>0</v>
      </c>
      <c r="AO488" s="3"/>
      <c r="AP488" s="3"/>
      <c r="AQ488" s="3"/>
    </row>
    <row r="489" spans="1:43">
      <c r="A489" s="4">
        <f>-SUM(J489:AN489)</f>
        <v>0</v>
      </c>
      <c r="B489" t="s">
        <v>536</v>
      </c>
      <c r="C489" t="s">
        <v>43</v>
      </c>
      <c r="D489"/>
      <c r="E489" s="3"/>
      <c r="F489" s="6">
        <v>98</v>
      </c>
      <c r="G489" s="4"/>
      <c r="I489">
        <f t="shared" si="7"/>
        <v>98</v>
      </c>
      <c r="M489">
        <v>0</v>
      </c>
      <c r="AO489" s="3"/>
      <c r="AP489" s="3"/>
      <c r="AQ489" s="3"/>
    </row>
    <row r="490" spans="1:43">
      <c r="A490" s="4">
        <f>-SUM(J490:AN490)</f>
        <v>0</v>
      </c>
      <c r="B490" t="s">
        <v>537</v>
      </c>
      <c r="C490" t="s">
        <v>43</v>
      </c>
      <c r="D490"/>
      <c r="E490" s="3"/>
      <c r="F490" s="6">
        <v>61</v>
      </c>
      <c r="G490" s="4"/>
      <c r="I490">
        <f t="shared" si="7"/>
        <v>61</v>
      </c>
      <c r="M490">
        <v>0</v>
      </c>
      <c r="AO490" s="3"/>
      <c r="AP490" s="3"/>
      <c r="AQ490" s="3"/>
    </row>
    <row r="491" spans="1:43">
      <c r="A491" s="4">
        <f>-SUM(J491:AN491)</f>
        <v>0</v>
      </c>
      <c r="B491" t="s">
        <v>538</v>
      </c>
      <c r="C491" t="s">
        <v>46</v>
      </c>
      <c r="D491"/>
      <c r="E491" s="3"/>
      <c r="F491" s="6">
        <v>0</v>
      </c>
      <c r="G491" s="4"/>
      <c r="I491">
        <f t="shared" si="7"/>
        <v>0</v>
      </c>
      <c r="M491">
        <v>0</v>
      </c>
      <c r="AO491" s="3"/>
      <c r="AP491" s="3"/>
      <c r="AQ491" s="3"/>
    </row>
    <row r="492" spans="1:43">
      <c r="A492" s="4">
        <f>-SUM(J492:AN492)</f>
        <v>0</v>
      </c>
      <c r="B492" t="s">
        <v>539</v>
      </c>
      <c r="C492" t="s">
        <v>43</v>
      </c>
      <c r="D492"/>
      <c r="E492" s="3"/>
      <c r="F492" s="6">
        <v>440</v>
      </c>
      <c r="G492" s="4"/>
      <c r="I492">
        <f t="shared" si="7"/>
        <v>440</v>
      </c>
      <c r="M492">
        <v>0</v>
      </c>
      <c r="AO492" s="3"/>
      <c r="AP492" s="3"/>
      <c r="AQ492" s="3"/>
    </row>
    <row r="493" spans="1:43">
      <c r="A493" s="4">
        <f>-SUM(J493:AN493)</f>
        <v>0</v>
      </c>
      <c r="B493" t="s">
        <v>540</v>
      </c>
      <c r="C493" t="s">
        <v>43</v>
      </c>
      <c r="D493"/>
      <c r="E493" s="3"/>
      <c r="F493" s="6">
        <v>808</v>
      </c>
      <c r="G493" s="4"/>
      <c r="I493">
        <f t="shared" si="7"/>
        <v>808</v>
      </c>
      <c r="M493">
        <v>0</v>
      </c>
      <c r="AO493" s="3"/>
      <c r="AP493" s="3"/>
      <c r="AQ493" s="3"/>
    </row>
    <row r="494" spans="1:43">
      <c r="A494" s="4">
        <f>-SUM(J494:AN494)</f>
        <v>0</v>
      </c>
      <c r="B494" t="s">
        <v>541</v>
      </c>
      <c r="C494" t="s">
        <v>43</v>
      </c>
      <c r="D494"/>
      <c r="E494" s="3"/>
      <c r="F494" s="6"/>
      <c r="G494" s="4"/>
      <c r="I494">
        <f t="shared" si="7"/>
        <v>0</v>
      </c>
      <c r="M494">
        <v>0</v>
      </c>
      <c r="AO494" s="3"/>
      <c r="AP494" s="3"/>
      <c r="AQ494" s="3"/>
    </row>
    <row r="495" spans="1:43">
      <c r="A495" s="4">
        <f>-SUM(J495:AN495)</f>
        <v>0</v>
      </c>
      <c r="B495" t="s">
        <v>542</v>
      </c>
      <c r="C495" t="s">
        <v>46</v>
      </c>
      <c r="D495"/>
      <c r="E495" s="3"/>
      <c r="F495" s="6">
        <v>0</v>
      </c>
      <c r="G495" s="4"/>
      <c r="I495">
        <f t="shared" si="7"/>
        <v>0</v>
      </c>
      <c r="M495">
        <v>0</v>
      </c>
      <c r="AO495" s="3"/>
      <c r="AP495" s="3"/>
      <c r="AQ495" s="3"/>
    </row>
    <row r="496" spans="1:43">
      <c r="A496" s="4">
        <f>-SUM(J496:AN496)</f>
        <v>0</v>
      </c>
      <c r="B496" t="s">
        <v>543</v>
      </c>
      <c r="C496" t="s">
        <v>43</v>
      </c>
      <c r="D496"/>
      <c r="E496" s="3"/>
      <c r="F496" s="6">
        <v>450</v>
      </c>
      <c r="G496" s="4"/>
      <c r="I496">
        <f t="shared" si="7"/>
        <v>450</v>
      </c>
      <c r="M496">
        <v>0</v>
      </c>
      <c r="AO496" s="3"/>
      <c r="AP496" s="3"/>
      <c r="AQ496" s="3"/>
    </row>
    <row r="497" spans="1:43">
      <c r="A497" s="4">
        <f>-SUM(J497:AN497)</f>
        <v>0</v>
      </c>
      <c r="B497" t="s">
        <v>544</v>
      </c>
      <c r="C497" t="s">
        <v>43</v>
      </c>
      <c r="D497"/>
      <c r="E497" s="3"/>
      <c r="F497" s="6">
        <v>183</v>
      </c>
      <c r="G497" s="4"/>
      <c r="I497">
        <f t="shared" si="7"/>
        <v>183</v>
      </c>
      <c r="M497">
        <v>0</v>
      </c>
      <c r="AO497" s="3"/>
      <c r="AP497" s="3"/>
      <c r="AQ497" s="3"/>
    </row>
    <row r="498" spans="1:43">
      <c r="A498" s="4">
        <f>-SUM(J498:AN498)</f>
        <v>0</v>
      </c>
      <c r="B498" t="s">
        <v>545</v>
      </c>
      <c r="C498" t="s">
        <v>43</v>
      </c>
      <c r="D498"/>
      <c r="E498" s="3"/>
      <c r="F498" s="6">
        <v>40</v>
      </c>
      <c r="G498" s="4"/>
      <c r="I498">
        <f t="shared" si="7"/>
        <v>40</v>
      </c>
      <c r="M498">
        <v>0</v>
      </c>
      <c r="AO498" s="3"/>
      <c r="AP498" s="3"/>
      <c r="AQ498" s="3"/>
    </row>
    <row r="499" spans="1:43">
      <c r="A499" s="4">
        <f>-SUM(J499:AN499)</f>
        <v>0</v>
      </c>
      <c r="B499" t="s">
        <v>546</v>
      </c>
      <c r="C499" t="s">
        <v>43</v>
      </c>
      <c r="D499"/>
      <c r="E499" s="3"/>
      <c r="F499" s="6">
        <v>100</v>
      </c>
      <c r="G499" s="4"/>
      <c r="I499">
        <f t="shared" si="7"/>
        <v>100</v>
      </c>
      <c r="M499">
        <v>0</v>
      </c>
      <c r="AO499" s="3"/>
      <c r="AP499" s="3"/>
      <c r="AQ499" s="3"/>
    </row>
    <row r="500" spans="1:43">
      <c r="A500" s="4">
        <f>-SUM(J500:AN500)</f>
        <v>0</v>
      </c>
      <c r="B500" t="s">
        <v>547</v>
      </c>
      <c r="C500" t="s">
        <v>43</v>
      </c>
      <c r="D500"/>
      <c r="E500" s="3"/>
      <c r="F500" s="6">
        <v>500</v>
      </c>
      <c r="G500" s="4"/>
      <c r="I500">
        <f t="shared" si="7"/>
        <v>500</v>
      </c>
      <c r="M500">
        <v>0</v>
      </c>
      <c r="AO500" s="3"/>
      <c r="AP500" s="3"/>
      <c r="AQ500" s="3"/>
    </row>
    <row r="501" spans="1:43">
      <c r="A501" s="4">
        <f>-SUM(J501:AN501)</f>
        <v>0</v>
      </c>
      <c r="B501" t="s">
        <v>548</v>
      </c>
      <c r="C501" t="s">
        <v>43</v>
      </c>
      <c r="D501"/>
      <c r="E501" s="3"/>
      <c r="F501" s="6">
        <v>40</v>
      </c>
      <c r="G501" s="4"/>
      <c r="I501">
        <f t="shared" si="7"/>
        <v>40</v>
      </c>
      <c r="M501">
        <v>0</v>
      </c>
      <c r="AO501" s="3"/>
      <c r="AP501" s="3"/>
      <c r="AQ501" s="3"/>
    </row>
    <row r="502" spans="1:43">
      <c r="A502" s="4">
        <f>-SUM(J502:AN502)</f>
        <v>0</v>
      </c>
      <c r="B502" t="s">
        <v>549</v>
      </c>
      <c r="C502" t="s">
        <v>43</v>
      </c>
      <c r="D502"/>
      <c r="E502" s="3"/>
      <c r="F502" s="6">
        <v>0</v>
      </c>
      <c r="G502" s="4"/>
      <c r="I502">
        <f t="shared" si="7"/>
        <v>0</v>
      </c>
      <c r="M502">
        <v>0</v>
      </c>
      <c r="AO502" s="3"/>
      <c r="AP502" s="3"/>
      <c r="AQ502" s="3"/>
    </row>
    <row r="503" spans="1:43">
      <c r="A503" s="4">
        <f>-SUM(J503:AN503)</f>
        <v>0</v>
      </c>
      <c r="B503" t="s">
        <v>550</v>
      </c>
      <c r="C503" t="s">
        <v>43</v>
      </c>
      <c r="D503"/>
      <c r="E503" s="3"/>
      <c r="F503" s="6">
        <v>44</v>
      </c>
      <c r="G503" s="4"/>
      <c r="I503">
        <f t="shared" si="7"/>
        <v>44</v>
      </c>
      <c r="M503">
        <v>0</v>
      </c>
      <c r="AO503" s="3"/>
      <c r="AP503" s="3"/>
      <c r="AQ503" s="3"/>
    </row>
    <row r="504" spans="1:43">
      <c r="A504" s="4">
        <f>-SUM(J504:AN504)</f>
        <v>0</v>
      </c>
      <c r="B504" t="s">
        <v>550</v>
      </c>
      <c r="E504" s="3"/>
      <c r="F504" s="6"/>
      <c r="G504" s="4"/>
      <c r="I504">
        <f t="shared" si="7"/>
        <v>0</v>
      </c>
      <c r="M504">
        <v>0</v>
      </c>
      <c r="AO504" s="3"/>
      <c r="AP504" s="3"/>
      <c r="AQ504" s="3"/>
    </row>
    <row r="505" spans="1:43">
      <c r="A505" s="4">
        <f>-SUM(J505:AN505)</f>
        <v>0</v>
      </c>
      <c r="B505" t="s">
        <v>551</v>
      </c>
      <c r="C505" t="s">
        <v>43</v>
      </c>
      <c r="D505"/>
      <c r="E505" s="3"/>
      <c r="F505" s="6">
        <v>304</v>
      </c>
      <c r="G505" s="4"/>
      <c r="I505">
        <f t="shared" si="7"/>
        <v>304</v>
      </c>
      <c r="M505">
        <v>0</v>
      </c>
      <c r="AO505" s="3"/>
      <c r="AP505" s="3"/>
      <c r="AQ505" s="3"/>
    </row>
    <row r="506" spans="1:43">
      <c r="A506" s="4">
        <f>-SUM(J506:AN506)</f>
        <v>0</v>
      </c>
      <c r="B506" t="s">
        <v>551</v>
      </c>
      <c r="E506" s="3"/>
      <c r="F506" s="6"/>
      <c r="G506" s="4"/>
      <c r="I506">
        <f t="shared" si="7"/>
        <v>0</v>
      </c>
      <c r="M506">
        <v>0</v>
      </c>
      <c r="AO506" s="3"/>
      <c r="AP506" s="3"/>
      <c r="AQ506" s="3"/>
    </row>
    <row r="507" spans="1:43">
      <c r="A507" s="4">
        <f>-SUM(J507:AN507)</f>
        <v>0</v>
      </c>
      <c r="B507" t="s">
        <v>552</v>
      </c>
      <c r="C507" t="s">
        <v>43</v>
      </c>
      <c r="D507"/>
      <c r="E507" s="3"/>
      <c r="F507" s="6">
        <v>347</v>
      </c>
      <c r="G507" s="4"/>
      <c r="I507">
        <f t="shared" si="7"/>
        <v>347</v>
      </c>
      <c r="M507">
        <v>0</v>
      </c>
      <c r="AO507" s="3"/>
      <c r="AP507" s="3"/>
      <c r="AQ507" s="3"/>
    </row>
    <row r="508" spans="1:43">
      <c r="A508" s="4">
        <f>-SUM(J508:AN508)</f>
        <v>0</v>
      </c>
      <c r="B508" t="s">
        <v>553</v>
      </c>
      <c r="C508" t="s">
        <v>43</v>
      </c>
      <c r="D508" s="1">
        <v>46054</v>
      </c>
      <c r="E508" s="3"/>
      <c r="F508" s="6">
        <v>182</v>
      </c>
      <c r="G508" s="4"/>
      <c r="I508">
        <f t="shared" si="7"/>
        <v>182</v>
      </c>
      <c r="M508">
        <v>0</v>
      </c>
      <c r="AO508" s="3"/>
      <c r="AP508" s="3"/>
      <c r="AQ508" s="3"/>
    </row>
    <row r="509" spans="1:43">
      <c r="A509" s="4">
        <f>-SUM(J509:AN509)</f>
        <v>0</v>
      </c>
      <c r="B509" t="s">
        <v>554</v>
      </c>
      <c r="E509" s="3"/>
      <c r="F509" s="6"/>
      <c r="G509" s="4"/>
      <c r="I509">
        <f t="shared" si="7"/>
        <v>0</v>
      </c>
      <c r="M509">
        <v>0</v>
      </c>
      <c r="AO509" s="3"/>
      <c r="AP509" s="3"/>
      <c r="AQ509" s="3"/>
    </row>
    <row r="510" spans="1:43">
      <c r="A510" s="4">
        <f>-SUM(J510:AN510)</f>
        <v>0</v>
      </c>
      <c r="B510" t="s">
        <v>555</v>
      </c>
      <c r="C510" t="s">
        <v>43</v>
      </c>
      <c r="D510"/>
      <c r="E510" s="3"/>
      <c r="F510" s="6">
        <v>33</v>
      </c>
      <c r="G510" s="4"/>
      <c r="I510">
        <f t="shared" si="7"/>
        <v>33</v>
      </c>
      <c r="M510">
        <v>0</v>
      </c>
      <c r="AO510" s="3"/>
      <c r="AP510" s="3"/>
      <c r="AQ510" s="3"/>
    </row>
    <row r="511" spans="1:43">
      <c r="A511" s="4">
        <f>-SUM(J511:AN511)</f>
        <v>0</v>
      </c>
      <c r="B511" t="s">
        <v>556</v>
      </c>
      <c r="C511" t="s">
        <v>43</v>
      </c>
      <c r="D511"/>
      <c r="E511" s="3"/>
      <c r="F511" s="6">
        <v>2</v>
      </c>
      <c r="G511" s="4"/>
      <c r="I511">
        <f t="shared" si="7"/>
        <v>2</v>
      </c>
      <c r="M511">
        <v>0</v>
      </c>
      <c r="AO511" s="3"/>
      <c r="AP511" s="3"/>
      <c r="AQ511" s="3"/>
    </row>
    <row r="512" spans="1:43">
      <c r="A512" s="4">
        <f>-SUM(J512:AN512)</f>
        <v>0</v>
      </c>
      <c r="B512" t="s">
        <v>557</v>
      </c>
      <c r="C512" t="s">
        <v>43</v>
      </c>
      <c r="D512"/>
      <c r="E512" s="3"/>
      <c r="F512" s="6">
        <v>4</v>
      </c>
      <c r="G512" s="4"/>
      <c r="I512">
        <f t="shared" si="7"/>
        <v>4</v>
      </c>
      <c r="M512">
        <v>0</v>
      </c>
      <c r="AO512" s="3"/>
      <c r="AP512" s="3"/>
      <c r="AQ512" s="3"/>
    </row>
    <row r="513" spans="1:43">
      <c r="A513" s="4">
        <f>-SUM(J513:AN513)</f>
        <v>0</v>
      </c>
      <c r="B513" t="s">
        <v>558</v>
      </c>
      <c r="C513" t="s">
        <v>43</v>
      </c>
      <c r="D513"/>
      <c r="E513" s="3"/>
      <c r="F513" s="6">
        <v>2</v>
      </c>
      <c r="G513" s="4"/>
      <c r="I513">
        <f t="shared" si="7"/>
        <v>2</v>
      </c>
      <c r="M513">
        <v>0</v>
      </c>
      <c r="AO513" s="3"/>
      <c r="AP513" s="3"/>
      <c r="AQ513" s="3"/>
    </row>
    <row r="514" spans="1:43">
      <c r="A514" s="4">
        <f>-SUM(J514:AN514)</f>
        <v>0</v>
      </c>
      <c r="B514" t="s">
        <v>559</v>
      </c>
      <c r="C514" t="s">
        <v>43</v>
      </c>
      <c r="D514" s="1">
        <v>47058</v>
      </c>
      <c r="E514" s="3"/>
      <c r="F514" s="6">
        <v>6</v>
      </c>
      <c r="G514" s="4"/>
      <c r="I514">
        <f t="shared" ref="I514:I550" si="8">SUM(F514+G514-E514,J514:AN514)</f>
        <v>6</v>
      </c>
      <c r="M514">
        <v>0</v>
      </c>
      <c r="AO514" s="3"/>
      <c r="AP514" s="3"/>
      <c r="AQ514" s="3"/>
    </row>
    <row r="515" spans="1:43">
      <c r="A515" s="4">
        <f>-SUM(J515:AN515)</f>
        <v>0</v>
      </c>
      <c r="B515" t="s">
        <v>560</v>
      </c>
      <c r="C515" t="s">
        <v>46</v>
      </c>
      <c r="D515" s="1"/>
      <c r="E515" s="3"/>
      <c r="F515" s="6">
        <v>0</v>
      </c>
      <c r="G515" s="4"/>
      <c r="I515">
        <f t="shared" si="8"/>
        <v>0</v>
      </c>
      <c r="M515">
        <v>0</v>
      </c>
      <c r="AO515" s="3"/>
      <c r="AP515" s="3"/>
      <c r="AQ515" s="3"/>
    </row>
    <row r="516" spans="1:43">
      <c r="A516" s="4">
        <f>-SUM(J516:AN516)</f>
        <v>0</v>
      </c>
      <c r="B516" t="s">
        <v>561</v>
      </c>
      <c r="C516" t="s">
        <v>43</v>
      </c>
      <c r="D516" s="1"/>
      <c r="E516" s="3"/>
      <c r="F516" s="6">
        <v>0</v>
      </c>
      <c r="G516" s="4"/>
      <c r="I516">
        <f t="shared" si="8"/>
        <v>0</v>
      </c>
      <c r="M516">
        <v>0</v>
      </c>
      <c r="AO516" s="3"/>
      <c r="AP516" s="3"/>
      <c r="AQ516" s="3"/>
    </row>
    <row r="517" spans="1:43">
      <c r="A517" s="4">
        <f>-SUM(J517:AN517)</f>
        <v>0</v>
      </c>
      <c r="B517" t="s">
        <v>562</v>
      </c>
      <c r="C517" t="s">
        <v>43</v>
      </c>
      <c r="D517"/>
      <c r="E517" s="3"/>
      <c r="F517" s="6">
        <v>19</v>
      </c>
      <c r="G517" s="4"/>
      <c r="I517">
        <f t="shared" si="8"/>
        <v>19</v>
      </c>
      <c r="M517">
        <v>0</v>
      </c>
      <c r="AO517" s="3"/>
      <c r="AP517" s="3"/>
      <c r="AQ517" s="3"/>
    </row>
    <row r="518" spans="1:43">
      <c r="A518" s="4">
        <f>-SUM(J518:AN518)</f>
        <v>0</v>
      </c>
      <c r="B518" t="s">
        <v>563</v>
      </c>
      <c r="C518" t="s">
        <v>43</v>
      </c>
      <c r="D518"/>
      <c r="E518" s="3"/>
      <c r="F518" s="6">
        <v>41</v>
      </c>
      <c r="G518" s="4"/>
      <c r="I518">
        <f t="shared" si="8"/>
        <v>41</v>
      </c>
      <c r="M518">
        <v>0</v>
      </c>
      <c r="AO518" s="3"/>
      <c r="AP518" s="3"/>
      <c r="AQ518" s="3"/>
    </row>
    <row r="519" spans="1:43">
      <c r="A519" s="4">
        <f>-SUM(J519:AN519)</f>
        <v>0</v>
      </c>
      <c r="B519" t="s">
        <v>564</v>
      </c>
      <c r="C519" t="s">
        <v>43</v>
      </c>
      <c r="D519"/>
      <c r="E519" s="3"/>
      <c r="F519" s="6">
        <v>39</v>
      </c>
      <c r="G519" s="4"/>
      <c r="I519">
        <f t="shared" si="8"/>
        <v>39</v>
      </c>
      <c r="M519">
        <v>0</v>
      </c>
      <c r="AO519" s="3"/>
      <c r="AP519" s="3"/>
      <c r="AQ519" s="3"/>
    </row>
    <row r="520" spans="1:43">
      <c r="A520" s="4">
        <f>-SUM(J520:AN520)</f>
        <v>0</v>
      </c>
      <c r="B520" t="s">
        <v>565</v>
      </c>
      <c r="C520" t="s">
        <v>46</v>
      </c>
      <c r="D520"/>
      <c r="E520" s="3"/>
      <c r="F520" s="6">
        <v>0</v>
      </c>
      <c r="G520" s="4"/>
      <c r="I520">
        <f t="shared" si="8"/>
        <v>0</v>
      </c>
      <c r="M520">
        <v>0</v>
      </c>
      <c r="AO520" s="3"/>
      <c r="AP520" s="3"/>
      <c r="AQ520" s="3"/>
    </row>
    <row r="521" spans="1:43">
      <c r="A521" s="4">
        <f>-SUM(J521:AN521)</f>
        <v>0</v>
      </c>
      <c r="B521" t="s">
        <v>566</v>
      </c>
      <c r="C521" t="s">
        <v>111</v>
      </c>
      <c r="D521"/>
      <c r="E521" s="3"/>
      <c r="F521" s="6">
        <v>3</v>
      </c>
      <c r="G521" s="4"/>
      <c r="I521">
        <f t="shared" si="8"/>
        <v>3</v>
      </c>
      <c r="M521">
        <v>0</v>
      </c>
      <c r="AO521" s="3"/>
      <c r="AP521" s="3"/>
      <c r="AQ521" s="3"/>
    </row>
    <row r="522" spans="1:43">
      <c r="A522" s="4">
        <f>-SUM(J522:AN522)</f>
        <v>0</v>
      </c>
      <c r="B522" t="s">
        <v>567</v>
      </c>
      <c r="E522" s="3"/>
      <c r="F522" s="6"/>
      <c r="G522" s="4"/>
      <c r="I522">
        <f t="shared" si="8"/>
        <v>0</v>
      </c>
      <c r="M522">
        <v>0</v>
      </c>
      <c r="AO522" s="3"/>
      <c r="AP522" s="3"/>
      <c r="AQ522" s="3"/>
    </row>
    <row r="523" spans="1:43">
      <c r="A523" s="4">
        <f>-SUM(J523:AN523)</f>
        <v>0</v>
      </c>
      <c r="B523" t="s">
        <v>568</v>
      </c>
      <c r="E523" s="3"/>
      <c r="F523" s="6"/>
      <c r="G523" s="4"/>
      <c r="I523">
        <f t="shared" si="8"/>
        <v>0</v>
      </c>
      <c r="M523">
        <v>0</v>
      </c>
      <c r="AO523" s="3"/>
      <c r="AP523" s="3"/>
      <c r="AQ523" s="3"/>
    </row>
    <row r="524" spans="1:43">
      <c r="A524" s="4">
        <f>-SUM(J524:AN524)</f>
        <v>0</v>
      </c>
      <c r="B524" t="s">
        <v>569</v>
      </c>
      <c r="E524" s="3"/>
      <c r="F524" s="6"/>
      <c r="G524" s="4"/>
      <c r="I524">
        <f t="shared" si="8"/>
        <v>0</v>
      </c>
      <c r="M524">
        <v>0</v>
      </c>
      <c r="AO524" s="3"/>
      <c r="AP524" s="3"/>
      <c r="AQ524" s="3"/>
    </row>
    <row r="525" spans="1:43">
      <c r="A525" s="4">
        <f>-SUM(J525:AN525)</f>
        <v>0</v>
      </c>
      <c r="B525" t="s">
        <v>570</v>
      </c>
      <c r="E525" s="3"/>
      <c r="F525" s="6"/>
      <c r="G525" s="4"/>
      <c r="I525">
        <f t="shared" si="8"/>
        <v>0</v>
      </c>
      <c r="M525">
        <v>0</v>
      </c>
      <c r="AO525" s="3"/>
      <c r="AP525" s="3"/>
      <c r="AQ525" s="3"/>
    </row>
    <row r="526" spans="1:43">
      <c r="A526" s="4">
        <f>-SUM(J526:AN526)</f>
        <v>0</v>
      </c>
      <c r="B526" t="s">
        <v>571</v>
      </c>
      <c r="E526" s="3"/>
      <c r="F526" s="6"/>
      <c r="G526" s="4"/>
      <c r="I526">
        <f t="shared" si="8"/>
        <v>0</v>
      </c>
      <c r="M526">
        <v>0</v>
      </c>
      <c r="AO526" s="3"/>
      <c r="AP526" s="3"/>
      <c r="AQ526" s="3"/>
    </row>
    <row r="527" spans="1:43">
      <c r="A527" s="4">
        <f>-SUM(J527:AN527)</f>
        <v>0</v>
      </c>
      <c r="B527" t="s">
        <v>572</v>
      </c>
      <c r="C527" t="s">
        <v>46</v>
      </c>
      <c r="D527"/>
      <c r="E527" s="3"/>
      <c r="F527" s="6">
        <v>0</v>
      </c>
      <c r="G527" s="4"/>
      <c r="I527">
        <f t="shared" si="8"/>
        <v>0</v>
      </c>
      <c r="M527">
        <v>0</v>
      </c>
      <c r="AO527" s="3"/>
      <c r="AP527" s="3"/>
      <c r="AQ527" s="3"/>
    </row>
    <row r="528" spans="1:43">
      <c r="A528" s="4">
        <f>-SUM(J528:AN528)</f>
        <v>0</v>
      </c>
      <c r="B528" t="s">
        <v>573</v>
      </c>
      <c r="C528" t="s">
        <v>46</v>
      </c>
      <c r="D528"/>
      <c r="E528" s="3"/>
      <c r="F528" s="6">
        <v>0</v>
      </c>
      <c r="G528" s="4"/>
      <c r="I528">
        <f t="shared" si="8"/>
        <v>0</v>
      </c>
      <c r="M528">
        <v>0</v>
      </c>
      <c r="AO528" s="3"/>
      <c r="AP528" s="3"/>
      <c r="AQ528" s="3"/>
    </row>
    <row r="529" spans="1:43">
      <c r="A529" s="4">
        <f>-SUM(J529:AN529)</f>
        <v>0</v>
      </c>
      <c r="B529" t="s">
        <v>574</v>
      </c>
      <c r="C529" t="s">
        <v>43</v>
      </c>
      <c r="D529"/>
      <c r="E529" s="3"/>
      <c r="F529" s="6">
        <v>850</v>
      </c>
      <c r="G529" s="4"/>
      <c r="I529">
        <f t="shared" si="8"/>
        <v>850</v>
      </c>
      <c r="M529">
        <v>0</v>
      </c>
      <c r="AO529" s="3"/>
      <c r="AP529" s="3"/>
      <c r="AQ529" s="3"/>
    </row>
    <row r="530" spans="1:43">
      <c r="A530" s="4">
        <f>-SUM(J530:AN530)</f>
        <v>0</v>
      </c>
      <c r="B530" t="s">
        <v>575</v>
      </c>
      <c r="C530" t="s">
        <v>82</v>
      </c>
      <c r="D530"/>
      <c r="E530" s="3"/>
      <c r="F530" s="6">
        <v>2</v>
      </c>
      <c r="G530" s="4"/>
      <c r="I530">
        <f t="shared" si="8"/>
        <v>2</v>
      </c>
      <c r="M530">
        <v>0</v>
      </c>
      <c r="AO530" s="3"/>
      <c r="AP530" s="3"/>
      <c r="AQ530" s="3"/>
    </row>
    <row r="531" spans="1:43">
      <c r="A531" s="4">
        <f>-SUM(J531:AN531)</f>
        <v>0</v>
      </c>
      <c r="B531" t="s">
        <v>576</v>
      </c>
      <c r="C531" t="s">
        <v>82</v>
      </c>
      <c r="D531"/>
      <c r="E531" s="3"/>
      <c r="F531" s="6"/>
      <c r="G531" s="4"/>
      <c r="I531">
        <f t="shared" si="8"/>
        <v>0</v>
      </c>
      <c r="M531">
        <v>0</v>
      </c>
      <c r="AO531" s="3"/>
      <c r="AP531" s="3"/>
      <c r="AQ531" s="3"/>
    </row>
    <row r="532" spans="1:43">
      <c r="A532" s="4">
        <f>-SUM(J532:AN532)</f>
        <v>0</v>
      </c>
      <c r="B532" t="s">
        <v>577</v>
      </c>
      <c r="C532" t="s">
        <v>43</v>
      </c>
      <c r="D532"/>
      <c r="E532" s="3"/>
      <c r="F532" s="6">
        <v>10</v>
      </c>
      <c r="G532" s="4"/>
      <c r="I532">
        <f t="shared" si="8"/>
        <v>10</v>
      </c>
      <c r="M532">
        <v>0</v>
      </c>
      <c r="AO532" s="3"/>
      <c r="AP532" s="3"/>
      <c r="AQ532" s="3"/>
    </row>
    <row r="533" spans="1:43">
      <c r="A533" s="4">
        <f>-SUM(J533:AN533)</f>
        <v>0</v>
      </c>
      <c r="B533" t="s">
        <v>578</v>
      </c>
      <c r="C533" t="s">
        <v>43</v>
      </c>
      <c r="D533"/>
      <c r="E533" s="3"/>
      <c r="F533" s="6">
        <v>80</v>
      </c>
      <c r="G533" s="4"/>
      <c r="I533">
        <f t="shared" si="8"/>
        <v>80</v>
      </c>
      <c r="M533">
        <v>0</v>
      </c>
      <c r="AO533" s="3"/>
      <c r="AP533" s="3"/>
      <c r="AQ533" s="3"/>
    </row>
    <row r="534" spans="1:43">
      <c r="A534" s="4">
        <f>-SUM(J534:AN534)</f>
        <v>0</v>
      </c>
      <c r="B534" t="s">
        <v>579</v>
      </c>
      <c r="C534" t="s">
        <v>43</v>
      </c>
      <c r="D534"/>
      <c r="E534" s="3"/>
      <c r="F534" s="6">
        <v>70</v>
      </c>
      <c r="G534" s="4"/>
      <c r="I534">
        <f t="shared" si="8"/>
        <v>70</v>
      </c>
      <c r="M534">
        <v>0</v>
      </c>
      <c r="AO534" s="3"/>
      <c r="AP534" s="3"/>
      <c r="AQ534" s="3"/>
    </row>
    <row r="535" spans="1:43">
      <c r="A535" s="4">
        <f>-SUM(J535:AN535)</f>
        <v>0</v>
      </c>
      <c r="B535" t="s">
        <v>580</v>
      </c>
      <c r="C535" t="s">
        <v>43</v>
      </c>
      <c r="D535"/>
      <c r="E535" s="3"/>
      <c r="F535" s="6">
        <v>80</v>
      </c>
      <c r="G535" s="4"/>
      <c r="I535">
        <f t="shared" si="8"/>
        <v>80</v>
      </c>
      <c r="M535">
        <v>0</v>
      </c>
      <c r="AO535" s="3"/>
      <c r="AP535" s="3"/>
      <c r="AQ535" s="3"/>
    </row>
    <row r="536" spans="1:43">
      <c r="A536" s="4">
        <f>-SUM(J536:AN536)</f>
        <v>0</v>
      </c>
      <c r="B536" t="s">
        <v>581</v>
      </c>
      <c r="C536" t="s">
        <v>43</v>
      </c>
      <c r="D536"/>
      <c r="E536" s="3"/>
      <c r="F536" s="6">
        <v>10</v>
      </c>
      <c r="G536" s="4"/>
      <c r="I536">
        <f t="shared" si="8"/>
        <v>10</v>
      </c>
      <c r="M536">
        <v>0</v>
      </c>
      <c r="AO536" s="3"/>
      <c r="AP536" s="3"/>
      <c r="AQ536" s="3"/>
    </row>
    <row r="537" spans="1:43">
      <c r="A537" s="4">
        <f>-SUM(J537:AN537)</f>
        <v>0</v>
      </c>
      <c r="B537" t="s">
        <v>582</v>
      </c>
      <c r="C537" t="s">
        <v>43</v>
      </c>
      <c r="D537"/>
      <c r="E537" s="3"/>
      <c r="F537" s="6">
        <v>10</v>
      </c>
      <c r="G537" s="4"/>
      <c r="I537">
        <f t="shared" si="8"/>
        <v>10</v>
      </c>
      <c r="M537">
        <v>0</v>
      </c>
      <c r="AO537" s="3"/>
      <c r="AP537" s="3"/>
      <c r="AQ537" s="3"/>
    </row>
    <row r="538" spans="1:43">
      <c r="A538" s="4">
        <f>-SUM(J538:AN538)</f>
        <v>0</v>
      </c>
      <c r="B538" t="s">
        <v>583</v>
      </c>
      <c r="C538" t="s">
        <v>43</v>
      </c>
      <c r="D538"/>
      <c r="E538" s="3"/>
      <c r="F538" s="6">
        <v>90</v>
      </c>
      <c r="G538" s="4"/>
      <c r="I538">
        <f t="shared" si="8"/>
        <v>90</v>
      </c>
      <c r="M538">
        <v>0</v>
      </c>
      <c r="AO538" s="3"/>
      <c r="AP538" s="3"/>
      <c r="AQ538" s="3"/>
    </row>
    <row r="539" spans="1:43">
      <c r="A539" s="4">
        <f>-SUM(J539:AN539)</f>
        <v>0</v>
      </c>
      <c r="B539" t="s">
        <v>584</v>
      </c>
      <c r="C539" t="s">
        <v>54</v>
      </c>
      <c r="D539"/>
      <c r="E539" s="3"/>
      <c r="F539" s="6">
        <v>10</v>
      </c>
      <c r="G539" s="4"/>
      <c r="I539">
        <f t="shared" si="8"/>
        <v>10</v>
      </c>
      <c r="M539">
        <v>0</v>
      </c>
      <c r="AO539" s="3"/>
      <c r="AP539" s="3"/>
      <c r="AQ539" s="3"/>
    </row>
    <row r="540" spans="1:43">
      <c r="A540" s="4">
        <f>-SUM(J540:AN540)</f>
        <v>0</v>
      </c>
      <c r="B540" t="s">
        <v>585</v>
      </c>
      <c r="C540" t="s">
        <v>43</v>
      </c>
      <c r="D540"/>
      <c r="E540" s="3"/>
      <c r="F540" s="6">
        <v>70</v>
      </c>
      <c r="G540" s="4"/>
      <c r="I540">
        <f t="shared" si="8"/>
        <v>70</v>
      </c>
      <c r="M540">
        <v>0</v>
      </c>
      <c r="AO540" s="3"/>
      <c r="AP540" s="3"/>
      <c r="AQ540" s="3"/>
    </row>
    <row r="541" spans="1:43">
      <c r="A541" s="4">
        <f>-SUM(J541:AN541)</f>
        <v>0</v>
      </c>
      <c r="B541" t="s">
        <v>586</v>
      </c>
      <c r="C541" t="s">
        <v>43</v>
      </c>
      <c r="D541"/>
      <c r="E541" s="3"/>
      <c r="F541" s="6">
        <v>80</v>
      </c>
      <c r="G541" s="4"/>
      <c r="I541">
        <f t="shared" si="8"/>
        <v>80</v>
      </c>
      <c r="M541">
        <v>0</v>
      </c>
      <c r="AO541" s="3"/>
      <c r="AP541" s="3"/>
      <c r="AQ541" s="3"/>
    </row>
    <row r="542" spans="1:43">
      <c r="A542" s="4">
        <f>-SUM(J542:AN542)</f>
        <v>0</v>
      </c>
      <c r="B542" t="s">
        <v>587</v>
      </c>
      <c r="C542" t="s">
        <v>43</v>
      </c>
      <c r="D542"/>
      <c r="E542" s="3"/>
      <c r="F542" s="6">
        <v>60</v>
      </c>
      <c r="G542" s="4"/>
      <c r="I542">
        <f t="shared" si="8"/>
        <v>60</v>
      </c>
      <c r="M542">
        <v>0</v>
      </c>
      <c r="AO542" s="3"/>
      <c r="AP542" s="3"/>
      <c r="AQ542" s="3"/>
    </row>
    <row r="543" spans="1:43">
      <c r="A543" s="4">
        <f>-SUM(J543:AN543)</f>
        <v>0</v>
      </c>
      <c r="B543" t="s">
        <v>588</v>
      </c>
      <c r="C543" t="s">
        <v>46</v>
      </c>
      <c r="D543"/>
      <c r="E543" s="3"/>
      <c r="F543" s="6">
        <v>0</v>
      </c>
      <c r="G543" s="4"/>
      <c r="I543">
        <f t="shared" si="8"/>
        <v>0</v>
      </c>
      <c r="M543">
        <v>0</v>
      </c>
      <c r="AO543" s="3"/>
      <c r="AP543" s="3"/>
      <c r="AQ543" s="3"/>
    </row>
    <row r="544" spans="1:43">
      <c r="A544" s="4">
        <f>-SUM(J544:AN544)</f>
        <v>0</v>
      </c>
      <c r="B544" t="s">
        <v>589</v>
      </c>
      <c r="C544" t="s">
        <v>82</v>
      </c>
      <c r="D544" s="1">
        <v>46296</v>
      </c>
      <c r="E544" s="3"/>
      <c r="F544" s="6">
        <v>11</v>
      </c>
      <c r="G544" s="4"/>
      <c r="I544">
        <f t="shared" si="8"/>
        <v>11</v>
      </c>
      <c r="M544">
        <v>0</v>
      </c>
      <c r="AO544" s="3"/>
      <c r="AP544" s="3"/>
      <c r="AQ544" s="3"/>
    </row>
    <row r="545" spans="1:43">
      <c r="A545" s="4">
        <f>-SUM(J545:AN545)</f>
        <v>0</v>
      </c>
      <c r="B545" t="s">
        <v>590</v>
      </c>
      <c r="C545" t="s">
        <v>43</v>
      </c>
      <c r="D545"/>
      <c r="E545" s="3"/>
      <c r="F545" s="6">
        <v>16</v>
      </c>
      <c r="G545" s="4"/>
      <c r="I545">
        <f t="shared" si="8"/>
        <v>16</v>
      </c>
      <c r="M545">
        <v>0</v>
      </c>
      <c r="AO545" s="3"/>
      <c r="AP545" s="3"/>
      <c r="AQ545" s="3"/>
    </row>
    <row r="546" spans="1:43">
      <c r="A546" s="4">
        <f>-SUM(J546:AN546)</f>
        <v>0</v>
      </c>
      <c r="B546" t="s">
        <v>591</v>
      </c>
      <c r="C546" t="s">
        <v>46</v>
      </c>
      <c r="D546" s="1"/>
      <c r="E546" s="3"/>
      <c r="F546" s="6">
        <v>0</v>
      </c>
      <c r="G546" s="4"/>
      <c r="I546">
        <f t="shared" si="8"/>
        <v>0</v>
      </c>
      <c r="M546">
        <v>0</v>
      </c>
      <c r="AO546" s="3"/>
      <c r="AP546" s="3"/>
      <c r="AQ546" s="3"/>
    </row>
    <row r="547" spans="1:43">
      <c r="A547" s="4">
        <f>-SUM(J547:AN547)</f>
        <v>0</v>
      </c>
      <c r="B547" t="s">
        <v>592</v>
      </c>
      <c r="E547" s="3"/>
      <c r="F547" s="6"/>
      <c r="G547" s="4"/>
      <c r="I547">
        <f t="shared" si="8"/>
        <v>0</v>
      </c>
      <c r="M547">
        <v>0</v>
      </c>
      <c r="AO547" s="3"/>
      <c r="AP547" s="3"/>
      <c r="AQ547" s="3"/>
    </row>
    <row r="548" spans="1:43">
      <c r="A548" s="4">
        <f>-SUM(J548:AN548)</f>
        <v>0</v>
      </c>
      <c r="B548" t="s">
        <v>593</v>
      </c>
      <c r="E548" s="3"/>
      <c r="F548" s="6"/>
      <c r="G548" s="4"/>
      <c r="I548">
        <f t="shared" si="8"/>
        <v>0</v>
      </c>
      <c r="M548">
        <v>0</v>
      </c>
      <c r="AO548" s="3"/>
      <c r="AP548" s="3"/>
      <c r="AQ548" s="3"/>
    </row>
    <row r="549" spans="1:43">
      <c r="A549" s="4">
        <f>-SUM(J549:AN549)</f>
        <v>0</v>
      </c>
      <c r="B549" t="s">
        <v>594</v>
      </c>
      <c r="E549" s="3"/>
      <c r="F549" s="6"/>
      <c r="G549" s="4"/>
      <c r="I549">
        <f t="shared" si="8"/>
        <v>0</v>
      </c>
      <c r="M549">
        <v>0</v>
      </c>
      <c r="AO549" s="3"/>
      <c r="AP549" s="3"/>
      <c r="AQ549" s="3"/>
    </row>
    <row r="550" spans="1:43">
      <c r="A550" s="4">
        <f>-SUM(J550:AN550)</f>
        <v>-10</v>
      </c>
      <c r="B550" t="s">
        <v>595</v>
      </c>
      <c r="E550" s="3"/>
      <c r="F550" s="6"/>
      <c r="G550" s="4"/>
      <c r="I550">
        <f t="shared" si="8"/>
        <v>10</v>
      </c>
      <c r="M550">
        <v>10</v>
      </c>
      <c r="AO550" s="3"/>
      <c r="AP550" s="3"/>
      <c r="AQ550" s="3"/>
    </row>
    <row r="551" spans="1:43">
      <c r="J551">
        <v>0</v>
      </c>
    </row>
    <row r="552" spans="1:43">
      <c r="J552">
        <v>0</v>
      </c>
    </row>
    <row r="553" spans="1:43">
      <c r="J553">
        <v>0</v>
      </c>
    </row>
    <row r="554" spans="1:43">
      <c r="J554">
        <v>0</v>
      </c>
    </row>
    <row r="555" spans="1:43">
      <c r="J555">
        <v>0</v>
      </c>
    </row>
    <row r="556" spans="1:43">
      <c r="J556">
        <v>0</v>
      </c>
    </row>
    <row r="557" spans="1:43">
      <c r="J557">
        <v>0</v>
      </c>
    </row>
    <row r="558" spans="1:43">
      <c r="J558">
        <v>0</v>
      </c>
    </row>
    <row r="559" spans="1:43">
      <c r="J559">
        <v>0</v>
      </c>
    </row>
    <row r="560" spans="1:43">
      <c r="J560">
        <v>0</v>
      </c>
    </row>
    <row r="561" spans="10:10">
      <c r="J561">
        <v>0</v>
      </c>
    </row>
    <row r="562" spans="10:10">
      <c r="J562">
        <v>0</v>
      </c>
    </row>
    <row r="563" spans="10:10">
      <c r="J563">
        <v>0</v>
      </c>
    </row>
    <row r="564" spans="10:10">
      <c r="J564">
        <v>0</v>
      </c>
    </row>
    <row r="565" spans="10:10">
      <c r="J565">
        <v>0</v>
      </c>
    </row>
    <row r="566" spans="10:10">
      <c r="J566">
        <v>0</v>
      </c>
    </row>
    <row r="567" spans="10:10">
      <c r="J567">
        <v>0</v>
      </c>
    </row>
    <row r="568" spans="10:10">
      <c r="J568">
        <v>0</v>
      </c>
    </row>
    <row r="569" spans="10:10">
      <c r="J569">
        <v>0</v>
      </c>
    </row>
    <row r="570" spans="10:10">
      <c r="J570">
        <v>0</v>
      </c>
    </row>
    <row r="571" spans="10:10">
      <c r="J571">
        <v>0</v>
      </c>
    </row>
    <row r="572" spans="10:10">
      <c r="J572">
        <v>0</v>
      </c>
    </row>
    <row r="573" spans="10:10">
      <c r="J573">
        <v>0</v>
      </c>
    </row>
    <row r="574" spans="10:10">
      <c r="J574">
        <v>0</v>
      </c>
    </row>
    <row r="575" spans="10:10">
      <c r="J575">
        <v>0</v>
      </c>
    </row>
    <row r="576" spans="10:10">
      <c r="J576">
        <v>0</v>
      </c>
    </row>
    <row r="577" spans="10:10">
      <c r="J577">
        <v>0</v>
      </c>
    </row>
    <row r="578" spans="10:10">
      <c r="J578">
        <v>0</v>
      </c>
    </row>
    <row r="579" spans="10:10">
      <c r="J579">
        <v>0</v>
      </c>
    </row>
    <row r="580" spans="10:10">
      <c r="J580">
        <v>0</v>
      </c>
    </row>
    <row r="581" spans="10:10">
      <c r="J581">
        <v>0</v>
      </c>
    </row>
    <row r="582" spans="10:10">
      <c r="J582">
        <v>0</v>
      </c>
    </row>
    <row r="583" spans="10:10">
      <c r="J583">
        <v>0</v>
      </c>
    </row>
    <row r="584" spans="10:10">
      <c r="J584">
        <v>0</v>
      </c>
    </row>
    <row r="585" spans="10:10">
      <c r="J585">
        <v>0</v>
      </c>
    </row>
    <row r="586" spans="10:10">
      <c r="J586">
        <v>0</v>
      </c>
    </row>
    <row r="587" spans="10:10">
      <c r="J587">
        <v>0</v>
      </c>
    </row>
    <row r="588" spans="10:10">
      <c r="J588">
        <v>0</v>
      </c>
    </row>
    <row r="589" spans="10:10">
      <c r="J589">
        <v>0</v>
      </c>
    </row>
    <row r="590" spans="10:10">
      <c r="J590">
        <v>0</v>
      </c>
    </row>
    <row r="591" spans="10:10">
      <c r="J591">
        <v>0</v>
      </c>
    </row>
    <row r="592" spans="10:10">
      <c r="J592">
        <v>0</v>
      </c>
    </row>
    <row r="593" spans="10:10">
      <c r="J593">
        <v>0</v>
      </c>
    </row>
    <row r="594" spans="10:10">
      <c r="J594">
        <v>0</v>
      </c>
    </row>
    <row r="595" spans="10:10">
      <c r="J595">
        <v>0</v>
      </c>
    </row>
    <row r="596" spans="10:10">
      <c r="J596">
        <v>0</v>
      </c>
    </row>
    <row r="597" spans="10:10">
      <c r="J597">
        <v>0</v>
      </c>
    </row>
    <row r="598" spans="10:10">
      <c r="J598">
        <v>0</v>
      </c>
    </row>
    <row r="599" spans="10:10">
      <c r="J599">
        <v>0</v>
      </c>
    </row>
    <row r="600" spans="10:10">
      <c r="J600">
        <v>0</v>
      </c>
    </row>
    <row r="601" spans="10:10">
      <c r="J601">
        <v>0</v>
      </c>
    </row>
    <row r="602" spans="10:10">
      <c r="J602">
        <v>0</v>
      </c>
    </row>
    <row r="603" spans="10:10">
      <c r="J603">
        <v>0</v>
      </c>
    </row>
    <row r="604" spans="10:10">
      <c r="J604">
        <v>0</v>
      </c>
    </row>
    <row r="605" spans="10:10">
      <c r="J605">
        <v>0</v>
      </c>
    </row>
    <row r="606" spans="10:10">
      <c r="J606">
        <v>0</v>
      </c>
    </row>
    <row r="607" spans="10:10">
      <c r="J607">
        <v>0</v>
      </c>
    </row>
    <row r="608" spans="10:10">
      <c r="J608">
        <v>0</v>
      </c>
    </row>
    <row r="609" spans="10:10">
      <c r="J609">
        <v>0</v>
      </c>
    </row>
    <row r="610" spans="10:10">
      <c r="J610">
        <v>0</v>
      </c>
    </row>
    <row r="611" spans="10:10">
      <c r="J611">
        <v>0</v>
      </c>
    </row>
    <row r="612" spans="10:10">
      <c r="J612">
        <v>0</v>
      </c>
    </row>
    <row r="613" spans="10:10">
      <c r="J613">
        <v>0</v>
      </c>
    </row>
    <row r="614" spans="10:10">
      <c r="J614">
        <v>0</v>
      </c>
    </row>
    <row r="615" spans="10:10">
      <c r="J615">
        <v>0</v>
      </c>
    </row>
    <row r="616" spans="10:10">
      <c r="J616">
        <v>0</v>
      </c>
    </row>
    <row r="617" spans="10:10">
      <c r="J617">
        <v>0</v>
      </c>
    </row>
    <row r="618" spans="10:10">
      <c r="J618">
        <v>0</v>
      </c>
    </row>
    <row r="619" spans="10:10">
      <c r="J619">
        <v>0</v>
      </c>
    </row>
    <row r="620" spans="10:10">
      <c r="J620">
        <v>0</v>
      </c>
    </row>
    <row r="621" spans="10:10">
      <c r="J621">
        <v>0</v>
      </c>
    </row>
    <row r="622" spans="10:10">
      <c r="J622">
        <v>0</v>
      </c>
    </row>
    <row r="623" spans="10:10">
      <c r="J623">
        <v>0</v>
      </c>
    </row>
    <row r="624" spans="10:10">
      <c r="J624">
        <v>0</v>
      </c>
    </row>
    <row r="625" spans="10:10">
      <c r="J625">
        <v>0</v>
      </c>
    </row>
    <row r="626" spans="10:10">
      <c r="J626">
        <v>0</v>
      </c>
    </row>
    <row r="627" spans="10:10">
      <c r="J627">
        <v>0</v>
      </c>
    </row>
    <row r="628" spans="10:10">
      <c r="J628">
        <v>0</v>
      </c>
    </row>
    <row r="629" spans="10:10">
      <c r="J629">
        <v>0</v>
      </c>
    </row>
    <row r="630" spans="10:10">
      <c r="J630">
        <v>0</v>
      </c>
    </row>
    <row r="631" spans="10:10">
      <c r="J631">
        <v>0</v>
      </c>
    </row>
    <row r="632" spans="10:10">
      <c r="J632">
        <v>0</v>
      </c>
    </row>
    <row r="633" spans="10:10">
      <c r="J633">
        <v>0</v>
      </c>
    </row>
    <row r="634" spans="10:10">
      <c r="J634">
        <v>0</v>
      </c>
    </row>
    <row r="635" spans="10:10">
      <c r="J635">
        <v>0</v>
      </c>
    </row>
    <row r="636" spans="10:10">
      <c r="J636">
        <v>0</v>
      </c>
    </row>
    <row r="637" spans="10:10">
      <c r="J637">
        <v>0</v>
      </c>
    </row>
    <row r="638" spans="10:10">
      <c r="J638">
        <v>0</v>
      </c>
    </row>
    <row r="639" spans="10:10">
      <c r="J639">
        <v>0</v>
      </c>
    </row>
    <row r="640" spans="10:10">
      <c r="J640">
        <v>0</v>
      </c>
    </row>
    <row r="641" spans="10:10">
      <c r="J641">
        <v>0</v>
      </c>
    </row>
    <row r="642" spans="10:10">
      <c r="J642">
        <v>0</v>
      </c>
    </row>
    <row r="643" spans="10:10">
      <c r="J643">
        <v>0</v>
      </c>
    </row>
    <row r="644" spans="10:10">
      <c r="J644">
        <v>0</v>
      </c>
    </row>
    <row r="645" spans="10:10">
      <c r="J645">
        <v>0</v>
      </c>
    </row>
    <row r="646" spans="10:10">
      <c r="J646">
        <v>0</v>
      </c>
    </row>
    <row r="647" spans="10:10">
      <c r="J647">
        <v>0</v>
      </c>
    </row>
    <row r="648" spans="10:10">
      <c r="J648">
        <v>0</v>
      </c>
    </row>
    <row r="649" spans="10:10">
      <c r="J649">
        <v>0</v>
      </c>
    </row>
    <row r="650" spans="10:10">
      <c r="J650">
        <v>0</v>
      </c>
    </row>
    <row r="651" spans="10:10">
      <c r="J651">
        <v>0</v>
      </c>
    </row>
    <row r="652" spans="10:10">
      <c r="J652">
        <v>0</v>
      </c>
    </row>
    <row r="653" spans="10:10">
      <c r="J653">
        <v>0</v>
      </c>
    </row>
    <row r="654" spans="10:10">
      <c r="J654">
        <v>0</v>
      </c>
    </row>
    <row r="655" spans="10:10">
      <c r="J655">
        <v>0</v>
      </c>
    </row>
    <row r="656" spans="10:10">
      <c r="J656">
        <v>0</v>
      </c>
    </row>
    <row r="657" spans="10:10">
      <c r="J657">
        <v>0</v>
      </c>
    </row>
    <row r="658" spans="10:10">
      <c r="J658">
        <v>0</v>
      </c>
    </row>
    <row r="659" spans="10:10">
      <c r="J659">
        <v>0</v>
      </c>
    </row>
    <row r="660" spans="10:10">
      <c r="J660">
        <v>0</v>
      </c>
    </row>
    <row r="661" spans="10:10">
      <c r="J661">
        <v>0</v>
      </c>
    </row>
    <row r="662" spans="10:10">
      <c r="J662">
        <v>0</v>
      </c>
    </row>
    <row r="663" spans="10:10">
      <c r="J663">
        <v>0</v>
      </c>
    </row>
    <row r="664" spans="10:10">
      <c r="J664">
        <v>0</v>
      </c>
    </row>
    <row r="665" spans="10:10">
      <c r="J665">
        <v>0</v>
      </c>
    </row>
    <row r="666" spans="10:10">
      <c r="J666">
        <v>0</v>
      </c>
    </row>
    <row r="667" spans="10:10">
      <c r="J667">
        <v>0</v>
      </c>
    </row>
    <row r="668" spans="10:10">
      <c r="J668">
        <v>0</v>
      </c>
    </row>
    <row r="669" spans="10:10">
      <c r="J669">
        <v>0</v>
      </c>
    </row>
    <row r="670" spans="10:10">
      <c r="J670">
        <v>0</v>
      </c>
    </row>
    <row r="671" spans="10:10">
      <c r="J671">
        <v>0</v>
      </c>
    </row>
    <row r="672" spans="10:10">
      <c r="J672">
        <v>0</v>
      </c>
    </row>
    <row r="673" spans="10:10">
      <c r="J673">
        <v>0</v>
      </c>
    </row>
    <row r="674" spans="10:10">
      <c r="J674">
        <v>0</v>
      </c>
    </row>
    <row r="675" spans="10:10">
      <c r="J675">
        <v>0</v>
      </c>
    </row>
    <row r="676" spans="10:10">
      <c r="J676">
        <v>0</v>
      </c>
    </row>
    <row r="677" spans="10:10">
      <c r="J677">
        <v>0</v>
      </c>
    </row>
    <row r="678" spans="10:10">
      <c r="J678">
        <v>0</v>
      </c>
    </row>
    <row r="679" spans="10:10">
      <c r="J679">
        <v>0</v>
      </c>
    </row>
    <row r="680" spans="10:10">
      <c r="J680">
        <v>0</v>
      </c>
    </row>
    <row r="681" spans="10:10">
      <c r="J681">
        <v>0</v>
      </c>
    </row>
    <row r="682" spans="10:10">
      <c r="J682">
        <v>0</v>
      </c>
    </row>
    <row r="683" spans="10:10">
      <c r="J683">
        <v>0</v>
      </c>
    </row>
    <row r="684" spans="10:10">
      <c r="J684">
        <v>0</v>
      </c>
    </row>
    <row r="685" spans="10:10">
      <c r="J685">
        <v>0</v>
      </c>
    </row>
    <row r="686" spans="10:10">
      <c r="J686">
        <v>0</v>
      </c>
    </row>
    <row r="687" spans="10:10">
      <c r="J687">
        <v>0</v>
      </c>
    </row>
    <row r="688" spans="10:10">
      <c r="J688">
        <v>0</v>
      </c>
    </row>
    <row r="689" spans="10:10">
      <c r="J689">
        <v>0</v>
      </c>
    </row>
    <row r="690" spans="10:10">
      <c r="J690">
        <v>0</v>
      </c>
    </row>
    <row r="691" spans="10:10">
      <c r="J691">
        <v>0</v>
      </c>
    </row>
    <row r="692" spans="10:10">
      <c r="J692">
        <v>0</v>
      </c>
    </row>
    <row r="693" spans="10:10">
      <c r="J693">
        <v>0</v>
      </c>
    </row>
    <row r="694" spans="10:10">
      <c r="J694">
        <v>0</v>
      </c>
    </row>
    <row r="695" spans="10:10">
      <c r="J695">
        <v>0</v>
      </c>
    </row>
    <row r="696" spans="10:10">
      <c r="J696">
        <v>0</v>
      </c>
    </row>
    <row r="697" spans="10:10">
      <c r="J697">
        <v>0</v>
      </c>
    </row>
    <row r="698" spans="10:10">
      <c r="J698">
        <v>0</v>
      </c>
    </row>
    <row r="699" spans="10:10">
      <c r="J699">
        <v>0</v>
      </c>
    </row>
    <row r="700" spans="10:10">
      <c r="J700">
        <v>0</v>
      </c>
    </row>
    <row r="701" spans="10:10">
      <c r="J701">
        <v>0</v>
      </c>
    </row>
    <row r="702" spans="10:10">
      <c r="J702">
        <v>0</v>
      </c>
    </row>
    <row r="703" spans="10:10">
      <c r="J703">
        <v>0</v>
      </c>
    </row>
    <row r="704" spans="10:10">
      <c r="J704">
        <v>0</v>
      </c>
    </row>
    <row r="705" spans="10:10">
      <c r="J705">
        <v>0</v>
      </c>
    </row>
    <row r="706" spans="10:10">
      <c r="J706">
        <v>0</v>
      </c>
    </row>
    <row r="707" spans="10:10">
      <c r="J707">
        <v>0</v>
      </c>
    </row>
    <row r="708" spans="10:10">
      <c r="J708">
        <v>0</v>
      </c>
    </row>
    <row r="709" spans="10:10">
      <c r="J709">
        <v>0</v>
      </c>
    </row>
    <row r="710" spans="10:10">
      <c r="J710">
        <v>0</v>
      </c>
    </row>
    <row r="711" spans="10:10">
      <c r="J711">
        <v>0</v>
      </c>
    </row>
    <row r="712" spans="10:10">
      <c r="J712">
        <v>0</v>
      </c>
    </row>
    <row r="713" spans="10:10">
      <c r="J713">
        <v>0</v>
      </c>
    </row>
    <row r="714" spans="10:10">
      <c r="J714">
        <v>0</v>
      </c>
    </row>
    <row r="715" spans="10:10">
      <c r="J715">
        <v>0</v>
      </c>
    </row>
    <row r="716" spans="10:10">
      <c r="J716">
        <v>0</v>
      </c>
    </row>
    <row r="717" spans="10:10">
      <c r="J717">
        <v>0</v>
      </c>
    </row>
    <row r="718" spans="10:10">
      <c r="J718">
        <v>0</v>
      </c>
    </row>
    <row r="719" spans="10:10">
      <c r="J719">
        <v>0</v>
      </c>
    </row>
    <row r="720" spans="10:10">
      <c r="J720">
        <v>0</v>
      </c>
    </row>
    <row r="721" spans="10:10">
      <c r="J721">
        <v>0</v>
      </c>
    </row>
    <row r="722" spans="10:10">
      <c r="J722">
        <v>0</v>
      </c>
    </row>
    <row r="723" spans="10:10">
      <c r="J723">
        <v>0</v>
      </c>
    </row>
    <row r="724" spans="10:10">
      <c r="J724">
        <v>0</v>
      </c>
    </row>
    <row r="725" spans="10:10">
      <c r="J725">
        <v>0</v>
      </c>
    </row>
    <row r="726" spans="10:10">
      <c r="J726">
        <v>0</v>
      </c>
    </row>
    <row r="727" spans="10:10">
      <c r="J727">
        <v>0</v>
      </c>
    </row>
    <row r="728" spans="10:10">
      <c r="J728">
        <v>0</v>
      </c>
    </row>
    <row r="729" spans="10:10">
      <c r="J729">
        <v>0</v>
      </c>
    </row>
    <row r="730" spans="10:10">
      <c r="J730">
        <v>0</v>
      </c>
    </row>
    <row r="731" spans="10:10">
      <c r="J731">
        <v>0</v>
      </c>
    </row>
    <row r="732" spans="10:10">
      <c r="J732">
        <v>0</v>
      </c>
    </row>
    <row r="733" spans="10:10">
      <c r="J733">
        <v>0</v>
      </c>
    </row>
    <row r="734" spans="10:10">
      <c r="J734">
        <v>0</v>
      </c>
    </row>
    <row r="735" spans="10:10">
      <c r="J735">
        <v>0</v>
      </c>
    </row>
    <row r="736" spans="10:10">
      <c r="J736">
        <v>0</v>
      </c>
    </row>
    <row r="737" spans="10:10">
      <c r="J737">
        <v>0</v>
      </c>
    </row>
    <row r="738" spans="10:10">
      <c r="J738">
        <v>0</v>
      </c>
    </row>
    <row r="739" spans="10:10">
      <c r="J739">
        <v>0</v>
      </c>
    </row>
    <row r="740" spans="10:10">
      <c r="J740">
        <v>0</v>
      </c>
    </row>
    <row r="741" spans="10:10">
      <c r="J741">
        <v>0</v>
      </c>
    </row>
    <row r="742" spans="10:10">
      <c r="J742">
        <v>0</v>
      </c>
    </row>
    <row r="743" spans="10:10">
      <c r="J743">
        <v>0</v>
      </c>
    </row>
    <row r="744" spans="10:10">
      <c r="J744">
        <v>0</v>
      </c>
    </row>
    <row r="745" spans="10:10">
      <c r="J745">
        <v>0</v>
      </c>
    </row>
    <row r="746" spans="10:10">
      <c r="J746">
        <v>0</v>
      </c>
    </row>
    <row r="747" spans="10:10">
      <c r="J747">
        <v>0</v>
      </c>
    </row>
    <row r="748" spans="10:10">
      <c r="J748">
        <v>0</v>
      </c>
    </row>
    <row r="749" spans="10:10">
      <c r="J749">
        <v>0</v>
      </c>
    </row>
    <row r="750" spans="10:10">
      <c r="J750">
        <v>0</v>
      </c>
    </row>
    <row r="751" spans="10:10">
      <c r="J751">
        <v>0</v>
      </c>
    </row>
    <row r="752" spans="10:10">
      <c r="J752">
        <v>0</v>
      </c>
    </row>
    <row r="753" spans="10:10">
      <c r="J753">
        <v>0</v>
      </c>
    </row>
    <row r="754" spans="10:10">
      <c r="J754">
        <v>0</v>
      </c>
    </row>
    <row r="755" spans="10:10">
      <c r="J755">
        <v>0</v>
      </c>
    </row>
    <row r="756" spans="10:10">
      <c r="J756">
        <v>0</v>
      </c>
    </row>
    <row r="757" spans="10:10">
      <c r="J757">
        <v>0</v>
      </c>
    </row>
    <row r="758" spans="10:10">
      <c r="J758">
        <v>0</v>
      </c>
    </row>
    <row r="759" spans="10:10">
      <c r="J759">
        <v>0</v>
      </c>
    </row>
    <row r="760" spans="10:10">
      <c r="J760">
        <v>0</v>
      </c>
    </row>
    <row r="761" spans="10:10">
      <c r="J761">
        <v>0</v>
      </c>
    </row>
    <row r="762" spans="10:10">
      <c r="J762">
        <v>0</v>
      </c>
    </row>
    <row r="763" spans="10:10">
      <c r="J763">
        <v>0</v>
      </c>
    </row>
    <row r="764" spans="10:10">
      <c r="J764">
        <v>0</v>
      </c>
    </row>
    <row r="765" spans="10:10">
      <c r="J765">
        <v>0</v>
      </c>
    </row>
    <row r="766" spans="10:10">
      <c r="J766">
        <v>0</v>
      </c>
    </row>
    <row r="767" spans="10:10">
      <c r="J767">
        <v>0</v>
      </c>
    </row>
    <row r="768" spans="10:10">
      <c r="J768">
        <v>0</v>
      </c>
    </row>
    <row r="769" spans="10:10">
      <c r="J769">
        <v>0</v>
      </c>
    </row>
    <row r="770" spans="10:10">
      <c r="J770">
        <v>0</v>
      </c>
    </row>
    <row r="771" spans="10:10">
      <c r="J771">
        <v>0</v>
      </c>
    </row>
    <row r="772" spans="10:10">
      <c r="J772">
        <v>0</v>
      </c>
    </row>
    <row r="773" spans="10:10">
      <c r="J773">
        <v>0</v>
      </c>
    </row>
    <row r="774" spans="10:10">
      <c r="J774">
        <v>0</v>
      </c>
    </row>
    <row r="775" spans="10:10">
      <c r="J775">
        <v>0</v>
      </c>
    </row>
    <row r="776" spans="10:10">
      <c r="J776">
        <v>0</v>
      </c>
    </row>
    <row r="777" spans="10:10">
      <c r="J777">
        <v>0</v>
      </c>
    </row>
    <row r="778" spans="10:10">
      <c r="J778">
        <v>0</v>
      </c>
    </row>
    <row r="779" spans="10:10">
      <c r="J779">
        <v>0</v>
      </c>
    </row>
    <row r="780" spans="10:10">
      <c r="J780">
        <v>0</v>
      </c>
    </row>
    <row r="781" spans="10:10">
      <c r="J781">
        <v>0</v>
      </c>
    </row>
    <row r="782" spans="10:10">
      <c r="J782">
        <v>0</v>
      </c>
    </row>
    <row r="783" spans="10:10">
      <c r="J783">
        <v>0</v>
      </c>
    </row>
    <row r="784" spans="10:10">
      <c r="J784">
        <v>0</v>
      </c>
    </row>
    <row r="785" spans="10:10">
      <c r="J785">
        <v>0</v>
      </c>
    </row>
    <row r="786" spans="10:10">
      <c r="J786">
        <v>0</v>
      </c>
    </row>
    <row r="787" spans="10:10">
      <c r="J787">
        <v>0</v>
      </c>
    </row>
  </sheetData>
  <autoFilter ref="A1:G550" xr:uid="{00000000-0009-0000-0000-000000000000}">
    <sortState xmlns:xlrd2="http://schemas.microsoft.com/office/spreadsheetml/2017/richdata2" ref="A2:G550">
      <sortCondition ref="B1:B550"/>
    </sortState>
  </autoFilter>
  <sortState xmlns:xlrd2="http://schemas.microsoft.com/office/spreadsheetml/2017/richdata2" ref="A1:AS787">
    <sortCondition descending="1" ref="A1"/>
  </sortState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55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{9893C227-E3A3-4485-848D-032550AC9A36}</x14:id>
        </ext>
      </extLst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93C227-E3A3-4485-848D-032550AC9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I1:I550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0"/>
  <sheetViews>
    <sheetView workbookViewId="0">
      <selection activeCell="B101" sqref="B101"/>
    </sheetView>
  </sheetViews>
  <sheetFormatPr defaultRowHeight="14.65"/>
  <cols>
    <col min="1" max="1" width="56.42578125" bestFit="1" customWidth="1"/>
    <col min="2" max="2" width="25.7109375" style="33" bestFit="1" customWidth="1"/>
    <col min="3" max="3" width="36.5703125" bestFit="1" customWidth="1"/>
  </cols>
  <sheetData>
    <row r="1" spans="1:3">
      <c r="A1" t="s">
        <v>1</v>
      </c>
      <c r="B1" s="33" t="s">
        <v>3</v>
      </c>
      <c r="C1" t="s">
        <v>596</v>
      </c>
    </row>
    <row r="2" spans="1:3" ht="15">
      <c r="A2" t="s">
        <v>63</v>
      </c>
      <c r="B2" s="33">
        <v>45839</v>
      </c>
    </row>
    <row r="3" spans="1:3" ht="15">
      <c r="A3" t="s">
        <v>269</v>
      </c>
      <c r="B3" s="33">
        <v>45870</v>
      </c>
    </row>
    <row r="4" spans="1:3" ht="15">
      <c r="A4" t="s">
        <v>49</v>
      </c>
      <c r="B4" s="33">
        <v>45931</v>
      </c>
    </row>
    <row r="5" spans="1:3" ht="15">
      <c r="A5" t="s">
        <v>229</v>
      </c>
      <c r="B5" s="33">
        <v>45962</v>
      </c>
    </row>
    <row r="6" spans="1:3" ht="15">
      <c r="A6" t="s">
        <v>268</v>
      </c>
      <c r="B6" s="33">
        <v>45992</v>
      </c>
    </row>
    <row r="7" spans="1:3" ht="15">
      <c r="A7" t="s">
        <v>101</v>
      </c>
      <c r="B7" s="33">
        <v>46023</v>
      </c>
    </row>
    <row r="8" spans="1:3" ht="15">
      <c r="A8" t="s">
        <v>297</v>
      </c>
      <c r="B8" s="33">
        <v>46023</v>
      </c>
    </row>
    <row r="9" spans="1:3" ht="15">
      <c r="A9" t="s">
        <v>325</v>
      </c>
      <c r="B9" s="33">
        <v>46023</v>
      </c>
    </row>
    <row r="10" spans="1:3" ht="15">
      <c r="A10" t="s">
        <v>597</v>
      </c>
      <c r="B10" s="33">
        <v>46023</v>
      </c>
    </row>
    <row r="11" spans="1:3" ht="15">
      <c r="A11" t="s">
        <v>306</v>
      </c>
      <c r="B11" s="33">
        <v>46054</v>
      </c>
    </row>
    <row r="12" spans="1:3" ht="15">
      <c r="A12" t="s">
        <v>553</v>
      </c>
      <c r="B12" s="33">
        <v>46054</v>
      </c>
    </row>
    <row r="13" spans="1:3" ht="15">
      <c r="A13" t="s">
        <v>334</v>
      </c>
      <c r="B13" s="33">
        <v>46082</v>
      </c>
    </row>
    <row r="14" spans="1:3" ht="15">
      <c r="A14" t="s">
        <v>393</v>
      </c>
      <c r="B14" s="33">
        <v>46082</v>
      </c>
    </row>
    <row r="15" spans="1:3" ht="15">
      <c r="A15" t="s">
        <v>598</v>
      </c>
      <c r="B15" s="33">
        <v>46082</v>
      </c>
    </row>
    <row r="16" spans="1:3" ht="15">
      <c r="A16" t="s">
        <v>44</v>
      </c>
      <c r="B16" s="33">
        <v>46113</v>
      </c>
    </row>
    <row r="17" spans="1:2" ht="15">
      <c r="A17" t="s">
        <v>185</v>
      </c>
      <c r="B17" s="33">
        <v>46113</v>
      </c>
    </row>
    <row r="18" spans="1:2" ht="15">
      <c r="A18" t="s">
        <v>241</v>
      </c>
      <c r="B18" s="33">
        <v>46113</v>
      </c>
    </row>
    <row r="19" spans="1:2" ht="15">
      <c r="A19" t="s">
        <v>599</v>
      </c>
      <c r="B19" s="33">
        <v>46113</v>
      </c>
    </row>
    <row r="20" spans="1:2" ht="15">
      <c r="A20" t="s">
        <v>600</v>
      </c>
      <c r="B20" s="33">
        <v>46143</v>
      </c>
    </row>
    <row r="21" spans="1:2" ht="15">
      <c r="A21" t="s">
        <v>601</v>
      </c>
      <c r="B21" s="33">
        <v>46143</v>
      </c>
    </row>
    <row r="22" spans="1:2" ht="15">
      <c r="A22" t="s">
        <v>262</v>
      </c>
      <c r="B22" s="33">
        <v>46204</v>
      </c>
    </row>
    <row r="23" spans="1:2" ht="15">
      <c r="A23" t="s">
        <v>415</v>
      </c>
      <c r="B23" s="33">
        <v>46204</v>
      </c>
    </row>
    <row r="24" spans="1:2" ht="15">
      <c r="A24" t="s">
        <v>602</v>
      </c>
      <c r="B24" s="33">
        <v>46204</v>
      </c>
    </row>
    <row r="25" spans="1:2" ht="15">
      <c r="A25" t="s">
        <v>603</v>
      </c>
      <c r="B25" s="33">
        <v>46204</v>
      </c>
    </row>
    <row r="26" spans="1:2" ht="15">
      <c r="A26" t="s">
        <v>604</v>
      </c>
      <c r="B26" s="33">
        <v>46232</v>
      </c>
    </row>
    <row r="27" spans="1:2" ht="15">
      <c r="A27" t="s">
        <v>296</v>
      </c>
      <c r="B27" s="33">
        <v>46266</v>
      </c>
    </row>
    <row r="28" spans="1:2" ht="15">
      <c r="A28" t="s">
        <v>605</v>
      </c>
      <c r="B28" s="33">
        <v>46266</v>
      </c>
    </row>
    <row r="29" spans="1:2" ht="15">
      <c r="A29" t="s">
        <v>62</v>
      </c>
      <c r="B29" s="33">
        <v>46296</v>
      </c>
    </row>
    <row r="30" spans="1:2" ht="15">
      <c r="A30" t="s">
        <v>261</v>
      </c>
      <c r="B30" s="33">
        <v>46296</v>
      </c>
    </row>
    <row r="31" spans="1:2" ht="15">
      <c r="A31" t="s">
        <v>589</v>
      </c>
      <c r="B31" s="33">
        <v>46296</v>
      </c>
    </row>
    <row r="32" spans="1:2" ht="15">
      <c r="A32" t="s">
        <v>39</v>
      </c>
      <c r="B32" s="33">
        <v>46327</v>
      </c>
    </row>
    <row r="33" spans="1:3" ht="15">
      <c r="A33" t="s">
        <v>184</v>
      </c>
      <c r="B33" s="33">
        <v>46327</v>
      </c>
    </row>
    <row r="34" spans="1:3" ht="15">
      <c r="A34" t="s">
        <v>606</v>
      </c>
      <c r="B34" s="33">
        <v>46327</v>
      </c>
    </row>
    <row r="35" spans="1:3" ht="15">
      <c r="A35" t="s">
        <v>607</v>
      </c>
      <c r="B35" s="33">
        <v>46327</v>
      </c>
    </row>
    <row r="36" spans="1:3" ht="15">
      <c r="A36" t="s">
        <v>559</v>
      </c>
      <c r="B36" s="33">
        <v>46327</v>
      </c>
    </row>
    <row r="37" spans="1:3" ht="15">
      <c r="A37" t="s">
        <v>284</v>
      </c>
      <c r="B37" s="33">
        <v>46357</v>
      </c>
    </row>
    <row r="38" spans="1:3" ht="15">
      <c r="A38" t="s">
        <v>608</v>
      </c>
      <c r="B38" s="33">
        <v>46357</v>
      </c>
    </row>
    <row r="39" spans="1:3" ht="15">
      <c r="A39" t="s">
        <v>609</v>
      </c>
      <c r="B39" s="33">
        <v>46388</v>
      </c>
    </row>
    <row r="40" spans="1:3" ht="30.75">
      <c r="A40" t="s">
        <v>610</v>
      </c>
      <c r="B40" s="33">
        <v>46388</v>
      </c>
      <c r="C40" s="69" t="s">
        <v>611</v>
      </c>
    </row>
    <row r="41" spans="1:3" ht="15">
      <c r="A41" t="s">
        <v>612</v>
      </c>
      <c r="B41" s="33">
        <v>46388</v>
      </c>
    </row>
    <row r="42" spans="1:3" ht="15">
      <c r="A42" t="s">
        <v>613</v>
      </c>
      <c r="B42" s="33">
        <v>46419</v>
      </c>
    </row>
    <row r="43" spans="1:3" ht="15">
      <c r="A43" t="s">
        <v>395</v>
      </c>
      <c r="B43" s="33">
        <v>46419</v>
      </c>
    </row>
    <row r="44" spans="1:3" ht="15">
      <c r="A44" t="s">
        <v>125</v>
      </c>
      <c r="B44" s="33">
        <v>46447</v>
      </c>
    </row>
    <row r="45" spans="1:3" ht="15">
      <c r="A45" t="s">
        <v>48</v>
      </c>
      <c r="B45" s="33">
        <v>46569</v>
      </c>
    </row>
    <row r="46" spans="1:3" ht="15">
      <c r="A46" t="s">
        <v>294</v>
      </c>
      <c r="B46" s="33">
        <v>46569</v>
      </c>
    </row>
    <row r="47" spans="1:3" ht="15">
      <c r="A47" t="s">
        <v>614</v>
      </c>
      <c r="B47" s="33">
        <v>46569</v>
      </c>
    </row>
    <row r="48" spans="1:3" ht="15">
      <c r="A48" t="s">
        <v>615</v>
      </c>
      <c r="B48" s="33">
        <v>46569</v>
      </c>
    </row>
    <row r="49" spans="1:3" ht="15">
      <c r="A49" t="s">
        <v>591</v>
      </c>
      <c r="B49" s="33">
        <v>46569</v>
      </c>
    </row>
    <row r="50" spans="1:3" ht="15">
      <c r="A50" t="s">
        <v>616</v>
      </c>
      <c r="B50" s="33">
        <v>46572</v>
      </c>
    </row>
    <row r="51" spans="1:3" ht="15">
      <c r="A51" t="s">
        <v>114</v>
      </c>
      <c r="B51" s="33">
        <v>46600</v>
      </c>
    </row>
    <row r="52" spans="1:3" ht="15">
      <c r="A52" t="s">
        <v>179</v>
      </c>
      <c r="B52" s="33">
        <v>46600</v>
      </c>
    </row>
    <row r="53" spans="1:3" ht="15">
      <c r="A53" t="s">
        <v>41</v>
      </c>
      <c r="B53" s="33">
        <v>46631</v>
      </c>
    </row>
    <row r="54" spans="1:3" ht="15">
      <c r="A54" t="s">
        <v>59</v>
      </c>
      <c r="B54" s="33">
        <v>46661</v>
      </c>
    </row>
    <row r="55" spans="1:3" ht="15">
      <c r="A55" t="s">
        <v>617</v>
      </c>
      <c r="B55" s="33">
        <v>46661</v>
      </c>
    </row>
    <row r="56" spans="1:3" ht="15">
      <c r="A56" t="s">
        <v>618</v>
      </c>
      <c r="B56" s="33">
        <v>46722</v>
      </c>
    </row>
    <row r="57" spans="1:3" ht="30.75">
      <c r="A57" t="s">
        <v>619</v>
      </c>
      <c r="B57" s="33">
        <v>46753</v>
      </c>
      <c r="C57" s="69" t="s">
        <v>611</v>
      </c>
    </row>
    <row r="58" spans="1:3" ht="15">
      <c r="A58" t="s">
        <v>620</v>
      </c>
      <c r="B58" s="33">
        <v>46753</v>
      </c>
    </row>
    <row r="59" spans="1:3" ht="15">
      <c r="A59" t="s">
        <v>621</v>
      </c>
      <c r="B59" s="33">
        <v>46753</v>
      </c>
    </row>
    <row r="60" spans="1:3" ht="15">
      <c r="A60" t="s">
        <v>58</v>
      </c>
      <c r="B60" s="33">
        <v>46813</v>
      </c>
    </row>
    <row r="61" spans="1:3" ht="15">
      <c r="A61" t="s">
        <v>182</v>
      </c>
      <c r="B61" s="33">
        <v>46813</v>
      </c>
    </row>
    <row r="62" spans="1:3" ht="15">
      <c r="A62" t="s">
        <v>187</v>
      </c>
      <c r="B62" s="33">
        <v>46813</v>
      </c>
    </row>
    <row r="63" spans="1:3" ht="15">
      <c r="A63" t="s">
        <v>622</v>
      </c>
      <c r="B63" s="33">
        <v>46813</v>
      </c>
    </row>
    <row r="64" spans="1:3" ht="15">
      <c r="A64" t="s">
        <v>623</v>
      </c>
      <c r="B64" s="33">
        <v>46813</v>
      </c>
    </row>
    <row r="65" spans="1:2" ht="15">
      <c r="A65" t="s">
        <v>624</v>
      </c>
      <c r="B65" s="33">
        <v>46813</v>
      </c>
    </row>
    <row r="66" spans="1:2" ht="15">
      <c r="A66" t="s">
        <v>192</v>
      </c>
      <c r="B66" s="33">
        <v>46844</v>
      </c>
    </row>
    <row r="67" spans="1:2" ht="15">
      <c r="A67" t="s">
        <v>279</v>
      </c>
      <c r="B67" s="33">
        <v>46874</v>
      </c>
    </row>
    <row r="68" spans="1:2" ht="15">
      <c r="A68" t="s">
        <v>625</v>
      </c>
      <c r="B68" s="33">
        <v>46874</v>
      </c>
    </row>
    <row r="69" spans="1:2" ht="15">
      <c r="A69" t="s">
        <v>626</v>
      </c>
      <c r="B69" s="33">
        <v>46905</v>
      </c>
    </row>
    <row r="70" spans="1:2" ht="15">
      <c r="A70" t="s">
        <v>627</v>
      </c>
      <c r="B70" s="33">
        <v>46905</v>
      </c>
    </row>
    <row r="71" spans="1:2" ht="15">
      <c r="A71" t="s">
        <v>280</v>
      </c>
      <c r="B71" s="33">
        <v>46935</v>
      </c>
    </row>
    <row r="72" spans="1:2" ht="15">
      <c r="A72" t="s">
        <v>628</v>
      </c>
      <c r="B72" s="33">
        <v>46935</v>
      </c>
    </row>
    <row r="73" spans="1:2" ht="15">
      <c r="A73" t="s">
        <v>629</v>
      </c>
      <c r="B73" s="33">
        <v>46935</v>
      </c>
    </row>
    <row r="74" spans="1:2" ht="15">
      <c r="A74" t="s">
        <v>53</v>
      </c>
      <c r="B74" s="33">
        <v>46966</v>
      </c>
    </row>
    <row r="75" spans="1:2" ht="15">
      <c r="A75" t="s">
        <v>180</v>
      </c>
      <c r="B75" s="33">
        <v>46966</v>
      </c>
    </row>
    <row r="76" spans="1:2" ht="15">
      <c r="A76" t="s">
        <v>186</v>
      </c>
      <c r="B76" s="33">
        <v>46966</v>
      </c>
    </row>
    <row r="77" spans="1:2" ht="15">
      <c r="A77" t="s">
        <v>630</v>
      </c>
      <c r="B77" s="33">
        <v>47025</v>
      </c>
    </row>
    <row r="78" spans="1:2" ht="15">
      <c r="A78" t="s">
        <v>99</v>
      </c>
      <c r="B78" s="33">
        <v>47058</v>
      </c>
    </row>
    <row r="79" spans="1:2" ht="15">
      <c r="A79" t="s">
        <v>116</v>
      </c>
      <c r="B79" s="33">
        <v>47058</v>
      </c>
    </row>
    <row r="80" spans="1:2" ht="15">
      <c r="A80" t="s">
        <v>118</v>
      </c>
      <c r="B80" s="33">
        <v>47058</v>
      </c>
    </row>
    <row r="81" spans="1:2" ht="15">
      <c r="A81" t="s">
        <v>103</v>
      </c>
      <c r="B81" s="33">
        <v>47088</v>
      </c>
    </row>
    <row r="82" spans="1:2" ht="15">
      <c r="A82" t="s">
        <v>631</v>
      </c>
      <c r="B82" s="33">
        <v>47096</v>
      </c>
    </row>
    <row r="83" spans="1:2" ht="15">
      <c r="A83" t="s">
        <v>632</v>
      </c>
      <c r="B83" s="33">
        <v>47096</v>
      </c>
    </row>
    <row r="84" spans="1:2" ht="15">
      <c r="A84" t="s">
        <v>188</v>
      </c>
      <c r="B84" s="33">
        <v>47119</v>
      </c>
    </row>
    <row r="85" spans="1:2" ht="15">
      <c r="A85" t="s">
        <v>77</v>
      </c>
      <c r="B85" s="33">
        <v>47150</v>
      </c>
    </row>
    <row r="86" spans="1:2" ht="15">
      <c r="A86" t="s">
        <v>78</v>
      </c>
      <c r="B86" s="33">
        <v>47150</v>
      </c>
    </row>
    <row r="87" spans="1:2" ht="15">
      <c r="A87" t="s">
        <v>633</v>
      </c>
      <c r="B87" s="33">
        <v>47158</v>
      </c>
    </row>
    <row r="88" spans="1:2" ht="15">
      <c r="A88" t="s">
        <v>42</v>
      </c>
      <c r="B88" s="33">
        <v>47178</v>
      </c>
    </row>
    <row r="89" spans="1:2" ht="15">
      <c r="A89" t="s">
        <v>56</v>
      </c>
      <c r="B89" s="33">
        <v>47178</v>
      </c>
    </row>
    <row r="90" spans="1:2" ht="15">
      <c r="A90" t="s">
        <v>67</v>
      </c>
      <c r="B90" s="33">
        <v>47178</v>
      </c>
    </row>
    <row r="91" spans="1:2" ht="15">
      <c r="A91" t="s">
        <v>57</v>
      </c>
      <c r="B91" s="33">
        <v>47209</v>
      </c>
    </row>
    <row r="92" spans="1:2" ht="15">
      <c r="A92" t="s">
        <v>190</v>
      </c>
      <c r="B92" s="33">
        <v>47300</v>
      </c>
    </row>
    <row r="93" spans="1:2" ht="15">
      <c r="A93" t="s">
        <v>191</v>
      </c>
      <c r="B93" s="33">
        <v>47300</v>
      </c>
    </row>
    <row r="94" spans="1:2" ht="15">
      <c r="A94" t="s">
        <v>189</v>
      </c>
      <c r="B94" s="33">
        <v>47484</v>
      </c>
    </row>
    <row r="95" spans="1:2" ht="15">
      <c r="A95" t="s">
        <v>55</v>
      </c>
      <c r="B95" s="33" t="s">
        <v>634</v>
      </c>
    </row>
    <row r="96" spans="1:2" ht="15">
      <c r="A96" t="s">
        <v>45</v>
      </c>
      <c r="B96" s="33" t="s">
        <v>635</v>
      </c>
    </row>
    <row r="97" spans="1:2" ht="15">
      <c r="A97" t="s">
        <v>47</v>
      </c>
      <c r="B97" s="33" t="s">
        <v>635</v>
      </c>
    </row>
    <row r="98" spans="1:2" ht="15">
      <c r="A98" t="s">
        <v>416</v>
      </c>
      <c r="B98" s="33" t="s">
        <v>635</v>
      </c>
    </row>
    <row r="99" spans="1:2" ht="15">
      <c r="A99" t="s">
        <v>181</v>
      </c>
      <c r="B99" s="33" t="s">
        <v>636</v>
      </c>
    </row>
    <row r="100" spans="1:2" ht="15">
      <c r="A100" t="s">
        <v>183</v>
      </c>
      <c r="B100" s="33" t="s">
        <v>636</v>
      </c>
    </row>
    <row r="101" spans="1:2" ht="15">
      <c r="A101" t="s">
        <v>51</v>
      </c>
    </row>
    <row r="102" spans="1:2" ht="15">
      <c r="A102" t="s">
        <v>52</v>
      </c>
    </row>
    <row r="103" spans="1:2" ht="15">
      <c r="A103" t="s">
        <v>60</v>
      </c>
    </row>
    <row r="104" spans="1:2" ht="15">
      <c r="A104" t="s">
        <v>61</v>
      </c>
    </row>
    <row r="105" spans="1:2" ht="15">
      <c r="A105" t="s">
        <v>64</v>
      </c>
    </row>
    <row r="106" spans="1:2" ht="15">
      <c r="A106" t="s">
        <v>65</v>
      </c>
    </row>
    <row r="107" spans="1:2" ht="15">
      <c r="A107" t="s">
        <v>66</v>
      </c>
    </row>
    <row r="108" spans="1:2" ht="15">
      <c r="A108" t="s">
        <v>68</v>
      </c>
    </row>
    <row r="109" spans="1:2" ht="15">
      <c r="A109" t="s">
        <v>69</v>
      </c>
    </row>
    <row r="110" spans="1:2" ht="15">
      <c r="A110" t="s">
        <v>70</v>
      </c>
    </row>
    <row r="111" spans="1:2" ht="15">
      <c r="A111" t="s">
        <v>70</v>
      </c>
    </row>
    <row r="112" spans="1:2" ht="15">
      <c r="A112" t="s">
        <v>71</v>
      </c>
    </row>
    <row r="113" spans="1:1" ht="15">
      <c r="A113" t="s">
        <v>72</v>
      </c>
    </row>
    <row r="114" spans="1:1" ht="15">
      <c r="A114" t="s">
        <v>73</v>
      </c>
    </row>
    <row r="115" spans="1:1" ht="15">
      <c r="A115" t="s">
        <v>74</v>
      </c>
    </row>
    <row r="116" spans="1:1" ht="15">
      <c r="A116" t="s">
        <v>75</v>
      </c>
    </row>
    <row r="117" spans="1:1" ht="15">
      <c r="A117" t="s">
        <v>76</v>
      </c>
    </row>
    <row r="118" spans="1:1" ht="15">
      <c r="A118" t="s">
        <v>79</v>
      </c>
    </row>
    <row r="119" spans="1:1" ht="15">
      <c r="A119" t="s">
        <v>80</v>
      </c>
    </row>
    <row r="120" spans="1:1" ht="15">
      <c r="A120" t="s">
        <v>81</v>
      </c>
    </row>
    <row r="121" spans="1:1" ht="15">
      <c r="A121" t="s">
        <v>83</v>
      </c>
    </row>
    <row r="122" spans="1:1" ht="15">
      <c r="A122" t="s">
        <v>84</v>
      </c>
    </row>
    <row r="123" spans="1:1" ht="15">
      <c r="A123" t="s">
        <v>85</v>
      </c>
    </row>
    <row r="124" spans="1:1" ht="15">
      <c r="A124" t="s">
        <v>86</v>
      </c>
    </row>
    <row r="125" spans="1:1" ht="15">
      <c r="A125" t="s">
        <v>87</v>
      </c>
    </row>
    <row r="126" spans="1:1" ht="15">
      <c r="A126" t="s">
        <v>89</v>
      </c>
    </row>
    <row r="127" spans="1:1" ht="15">
      <c r="A127" t="s">
        <v>90</v>
      </c>
    </row>
    <row r="128" spans="1:1" ht="15">
      <c r="A128" t="s">
        <v>91</v>
      </c>
    </row>
    <row r="129" spans="1:1" ht="15">
      <c r="A129" t="s">
        <v>92</v>
      </c>
    </row>
    <row r="130" spans="1:1" ht="15">
      <c r="A130" t="s">
        <v>93</v>
      </c>
    </row>
    <row r="131" spans="1:1" ht="15">
      <c r="A131" t="s">
        <v>94</v>
      </c>
    </row>
    <row r="132" spans="1:1" ht="15">
      <c r="A132" t="s">
        <v>95</v>
      </c>
    </row>
    <row r="133" spans="1:1" ht="15">
      <c r="A133" t="s">
        <v>96</v>
      </c>
    </row>
    <row r="134" spans="1:1" ht="15">
      <c r="A134" t="s">
        <v>97</v>
      </c>
    </row>
    <row r="135" spans="1:1" ht="15">
      <c r="A135" t="s">
        <v>98</v>
      </c>
    </row>
    <row r="136" spans="1:1" ht="15">
      <c r="A136" t="s">
        <v>104</v>
      </c>
    </row>
    <row r="137" spans="1:1" ht="15">
      <c r="A137" t="s">
        <v>104</v>
      </c>
    </row>
    <row r="138" spans="1:1" ht="15">
      <c r="A138" t="s">
        <v>105</v>
      </c>
    </row>
    <row r="139" spans="1:1" ht="15">
      <c r="A139" t="s">
        <v>106</v>
      </c>
    </row>
    <row r="140" spans="1:1" ht="15">
      <c r="A140" t="s">
        <v>107</v>
      </c>
    </row>
    <row r="141" spans="1:1" ht="15">
      <c r="A141" t="s">
        <v>108</v>
      </c>
    </row>
    <row r="142" spans="1:1" ht="15">
      <c r="A142" t="s">
        <v>109</v>
      </c>
    </row>
    <row r="143" spans="1:1" ht="15">
      <c r="A143" t="s">
        <v>110</v>
      </c>
    </row>
    <row r="144" spans="1:1" ht="15">
      <c r="A144" t="s">
        <v>112</v>
      </c>
    </row>
    <row r="145" spans="1:1" ht="15">
      <c r="A145" t="s">
        <v>113</v>
      </c>
    </row>
    <row r="146" spans="1:1" ht="15">
      <c r="A146" t="s">
        <v>115</v>
      </c>
    </row>
    <row r="147" spans="1:1" ht="15">
      <c r="A147" t="s">
        <v>117</v>
      </c>
    </row>
    <row r="148" spans="1:1" ht="15">
      <c r="A148" t="s">
        <v>119</v>
      </c>
    </row>
    <row r="149" spans="1:1" ht="15">
      <c r="A149" t="s">
        <v>120</v>
      </c>
    </row>
    <row r="150" spans="1:1" ht="15">
      <c r="A150" t="s">
        <v>122</v>
      </c>
    </row>
    <row r="151" spans="1:1" ht="15">
      <c r="A151" t="s">
        <v>123</v>
      </c>
    </row>
    <row r="152" spans="1:1" ht="15">
      <c r="A152" t="s">
        <v>124</v>
      </c>
    </row>
    <row r="153" spans="1:1" ht="15">
      <c r="A153" t="s">
        <v>127</v>
      </c>
    </row>
    <row r="154" spans="1:1" ht="15">
      <c r="A154" t="s">
        <v>128</v>
      </c>
    </row>
    <row r="155" spans="1:1" ht="15">
      <c r="A155" t="s">
        <v>129</v>
      </c>
    </row>
    <row r="156" spans="1:1" ht="15">
      <c r="A156" t="s">
        <v>130</v>
      </c>
    </row>
    <row r="157" spans="1:1" ht="15">
      <c r="A157" t="s">
        <v>131</v>
      </c>
    </row>
    <row r="158" spans="1:1" ht="15">
      <c r="A158" t="s">
        <v>132</v>
      </c>
    </row>
    <row r="159" spans="1:1" ht="15">
      <c r="A159" t="s">
        <v>133</v>
      </c>
    </row>
    <row r="160" spans="1:1" ht="15">
      <c r="A160" t="s">
        <v>134</v>
      </c>
    </row>
    <row r="161" spans="1:1" ht="15">
      <c r="A161" t="s">
        <v>135</v>
      </c>
    </row>
    <row r="162" spans="1:1" ht="15">
      <c r="A162" t="s">
        <v>136</v>
      </c>
    </row>
    <row r="163" spans="1:1" ht="15">
      <c r="A163" t="s">
        <v>137</v>
      </c>
    </row>
    <row r="164" spans="1:1" ht="15">
      <c r="A164" t="s">
        <v>138</v>
      </c>
    </row>
    <row r="165" spans="1:1" ht="15">
      <c r="A165" t="s">
        <v>139</v>
      </c>
    </row>
    <row r="166" spans="1:1" ht="15">
      <c r="A166" t="s">
        <v>140</v>
      </c>
    </row>
    <row r="167" spans="1:1" ht="15">
      <c r="A167" t="s">
        <v>141</v>
      </c>
    </row>
    <row r="168" spans="1:1" ht="15">
      <c r="A168" t="s">
        <v>142</v>
      </c>
    </row>
    <row r="169" spans="1:1" ht="15">
      <c r="A169" t="s">
        <v>143</v>
      </c>
    </row>
    <row r="170" spans="1:1" ht="15">
      <c r="A170" t="s">
        <v>144</v>
      </c>
    </row>
    <row r="171" spans="1:1" ht="15">
      <c r="A171" t="s">
        <v>145</v>
      </c>
    </row>
    <row r="172" spans="1:1" ht="15">
      <c r="A172" t="s">
        <v>146</v>
      </c>
    </row>
    <row r="173" spans="1:1" ht="15">
      <c r="A173" t="s">
        <v>147</v>
      </c>
    </row>
    <row r="174" spans="1:1" ht="15">
      <c r="A174" t="s">
        <v>148</v>
      </c>
    </row>
    <row r="175" spans="1:1" ht="15">
      <c r="A175" t="s">
        <v>149</v>
      </c>
    </row>
    <row r="176" spans="1:1" ht="15">
      <c r="A176" t="s">
        <v>150</v>
      </c>
    </row>
    <row r="177" spans="1:1" ht="15">
      <c r="A177" t="s">
        <v>151</v>
      </c>
    </row>
    <row r="178" spans="1:1" ht="15">
      <c r="A178" t="s">
        <v>152</v>
      </c>
    </row>
    <row r="179" spans="1:1" ht="15">
      <c r="A179" t="s">
        <v>153</v>
      </c>
    </row>
    <row r="180" spans="1:1" ht="15">
      <c r="A180" t="s">
        <v>154</v>
      </c>
    </row>
    <row r="181" spans="1:1" ht="15">
      <c r="A181" t="s">
        <v>155</v>
      </c>
    </row>
    <row r="182" spans="1:1" ht="15">
      <c r="A182" t="s">
        <v>156</v>
      </c>
    </row>
    <row r="183" spans="1:1" ht="15">
      <c r="A183" t="s">
        <v>157</v>
      </c>
    </row>
    <row r="184" spans="1:1" ht="15">
      <c r="A184" t="s">
        <v>158</v>
      </c>
    </row>
    <row r="185" spans="1:1" ht="15">
      <c r="A185" t="s">
        <v>159</v>
      </c>
    </row>
    <row r="186" spans="1:1" ht="15">
      <c r="A186" t="s">
        <v>160</v>
      </c>
    </row>
    <row r="187" spans="1:1" ht="15">
      <c r="A187" t="s">
        <v>161</v>
      </c>
    </row>
    <row r="188" spans="1:1" ht="15">
      <c r="A188" t="s">
        <v>162</v>
      </c>
    </row>
    <row r="189" spans="1:1" ht="15">
      <c r="A189" t="s">
        <v>163</v>
      </c>
    </row>
    <row r="190" spans="1:1" ht="15">
      <c r="A190" t="s">
        <v>164</v>
      </c>
    </row>
    <row r="191" spans="1:1" ht="15">
      <c r="A191" t="s">
        <v>165</v>
      </c>
    </row>
    <row r="192" spans="1:1" ht="15">
      <c r="A192" t="s">
        <v>166</v>
      </c>
    </row>
    <row r="193" spans="1:1" ht="15">
      <c r="A193" t="s">
        <v>167</v>
      </c>
    </row>
    <row r="194" spans="1:1" ht="15">
      <c r="A194" t="s">
        <v>168</v>
      </c>
    </row>
    <row r="195" spans="1:1" ht="15">
      <c r="A195" t="s">
        <v>169</v>
      </c>
    </row>
    <row r="196" spans="1:1" ht="15">
      <c r="A196" t="s">
        <v>170</v>
      </c>
    </row>
    <row r="197" spans="1:1" ht="15">
      <c r="A197" t="s">
        <v>171</v>
      </c>
    </row>
    <row r="198" spans="1:1" ht="15">
      <c r="A198" t="s">
        <v>172</v>
      </c>
    </row>
    <row r="199" spans="1:1" ht="15">
      <c r="A199" t="s">
        <v>173</v>
      </c>
    </row>
    <row r="200" spans="1:1" ht="15">
      <c r="A200" t="s">
        <v>174</v>
      </c>
    </row>
    <row r="201" spans="1:1" ht="15">
      <c r="A201" t="s">
        <v>175</v>
      </c>
    </row>
    <row r="202" spans="1:1" ht="15">
      <c r="A202" t="s">
        <v>176</v>
      </c>
    </row>
    <row r="203" spans="1:1" ht="15">
      <c r="A203" t="s">
        <v>177</v>
      </c>
    </row>
    <row r="204" spans="1:1" ht="15">
      <c r="A204" t="s">
        <v>178</v>
      </c>
    </row>
    <row r="205" spans="1:1" ht="15">
      <c r="A205" t="s">
        <v>195</v>
      </c>
    </row>
    <row r="206" spans="1:1" ht="15">
      <c r="A206" t="s">
        <v>197</v>
      </c>
    </row>
    <row r="207" spans="1:1" ht="15">
      <c r="A207" t="s">
        <v>198</v>
      </c>
    </row>
    <row r="208" spans="1:1" ht="15">
      <c r="A208" t="s">
        <v>199</v>
      </c>
    </row>
    <row r="209" spans="1:1" ht="15">
      <c r="A209" t="s">
        <v>200</v>
      </c>
    </row>
    <row r="210" spans="1:1" ht="15">
      <c r="A210" t="s">
        <v>201</v>
      </c>
    </row>
    <row r="211" spans="1:1" ht="15">
      <c r="A211" t="s">
        <v>202</v>
      </c>
    </row>
    <row r="212" spans="1:1" ht="15">
      <c r="A212" t="s">
        <v>203</v>
      </c>
    </row>
    <row r="213" spans="1:1" ht="15">
      <c r="A213" t="s">
        <v>204</v>
      </c>
    </row>
    <row r="214" spans="1:1" ht="15">
      <c r="A214" t="s">
        <v>205</v>
      </c>
    </row>
    <row r="215" spans="1:1" ht="15">
      <c r="A215" t="s">
        <v>206</v>
      </c>
    </row>
    <row r="216" spans="1:1" ht="15">
      <c r="A216" t="s">
        <v>207</v>
      </c>
    </row>
    <row r="217" spans="1:1" ht="15">
      <c r="A217" t="s">
        <v>208</v>
      </c>
    </row>
    <row r="218" spans="1:1" ht="15">
      <c r="A218" t="s">
        <v>209</v>
      </c>
    </row>
    <row r="219" spans="1:1" ht="15">
      <c r="A219" t="s">
        <v>210</v>
      </c>
    </row>
    <row r="220" spans="1:1" ht="15">
      <c r="A220" t="s">
        <v>211</v>
      </c>
    </row>
    <row r="221" spans="1:1" ht="15">
      <c r="A221" t="s">
        <v>212</v>
      </c>
    </row>
    <row r="222" spans="1:1" ht="15">
      <c r="A222" t="s">
        <v>213</v>
      </c>
    </row>
    <row r="223" spans="1:1" ht="15">
      <c r="A223" t="s">
        <v>214</v>
      </c>
    </row>
    <row r="224" spans="1:1" ht="15">
      <c r="A224" t="s">
        <v>215</v>
      </c>
    </row>
    <row r="225" spans="1:1" ht="15">
      <c r="A225" t="s">
        <v>216</v>
      </c>
    </row>
    <row r="226" spans="1:1" ht="15">
      <c r="A226" t="s">
        <v>217</v>
      </c>
    </row>
    <row r="227" spans="1:1" ht="15">
      <c r="A227" t="s">
        <v>218</v>
      </c>
    </row>
    <row r="228" spans="1:1" ht="15">
      <c r="A228" t="s">
        <v>219</v>
      </c>
    </row>
    <row r="229" spans="1:1" ht="15">
      <c r="A229" t="s">
        <v>220</v>
      </c>
    </row>
    <row r="230" spans="1:1" ht="15">
      <c r="A230" t="s">
        <v>221</v>
      </c>
    </row>
    <row r="231" spans="1:1" ht="15">
      <c r="A231" t="s">
        <v>222</v>
      </c>
    </row>
    <row r="232" spans="1:1" ht="15">
      <c r="A232" t="s">
        <v>223</v>
      </c>
    </row>
    <row r="233" spans="1:1" ht="15">
      <c r="A233" t="s">
        <v>224</v>
      </c>
    </row>
    <row r="234" spans="1:1" ht="15">
      <c r="A234" t="s">
        <v>225</v>
      </c>
    </row>
    <row r="235" spans="1:1" ht="15">
      <c r="A235" t="s">
        <v>226</v>
      </c>
    </row>
    <row r="236" spans="1:1" ht="15">
      <c r="A236" t="s">
        <v>227</v>
      </c>
    </row>
    <row r="237" spans="1:1" ht="15">
      <c r="A237" t="s">
        <v>228</v>
      </c>
    </row>
    <row r="238" spans="1:1" ht="15">
      <c r="A238" t="s">
        <v>230</v>
      </c>
    </row>
    <row r="239" spans="1:1" ht="15">
      <c r="A239" t="s">
        <v>231</v>
      </c>
    </row>
    <row r="240" spans="1:1" ht="15">
      <c r="A240" t="s">
        <v>232</v>
      </c>
    </row>
    <row r="241" spans="1:1" ht="15">
      <c r="A241" t="s">
        <v>233</v>
      </c>
    </row>
    <row r="242" spans="1:1" ht="15">
      <c r="A242" t="s">
        <v>234</v>
      </c>
    </row>
    <row r="243" spans="1:1" ht="15">
      <c r="A243" t="s">
        <v>235</v>
      </c>
    </row>
    <row r="244" spans="1:1" ht="15">
      <c r="A244" t="s">
        <v>236</v>
      </c>
    </row>
    <row r="245" spans="1:1" ht="15">
      <c r="A245" t="s">
        <v>237</v>
      </c>
    </row>
    <row r="246" spans="1:1" ht="15">
      <c r="A246" t="s">
        <v>238</v>
      </c>
    </row>
    <row r="247" spans="1:1" ht="15">
      <c r="A247" t="s">
        <v>239</v>
      </c>
    </row>
    <row r="248" spans="1:1" ht="15">
      <c r="A248" t="s">
        <v>240</v>
      </c>
    </row>
    <row r="249" spans="1:1" ht="15">
      <c r="A249" t="s">
        <v>242</v>
      </c>
    </row>
    <row r="250" spans="1:1" ht="15">
      <c r="A250" t="s">
        <v>243</v>
      </c>
    </row>
    <row r="251" spans="1:1" ht="15">
      <c r="A251" t="s">
        <v>244</v>
      </c>
    </row>
    <row r="252" spans="1:1" ht="15">
      <c r="A252" t="s">
        <v>245</v>
      </c>
    </row>
    <row r="253" spans="1:1" ht="15">
      <c r="A253" t="s">
        <v>246</v>
      </c>
    </row>
    <row r="254" spans="1:1" ht="15">
      <c r="A254" t="s">
        <v>247</v>
      </c>
    </row>
    <row r="255" spans="1:1" ht="15">
      <c r="A255" t="s">
        <v>248</v>
      </c>
    </row>
    <row r="256" spans="1:1" ht="15">
      <c r="A256" t="s">
        <v>249</v>
      </c>
    </row>
    <row r="257" spans="1:1" ht="15">
      <c r="A257" t="s">
        <v>250</v>
      </c>
    </row>
    <row r="258" spans="1:1" ht="15">
      <c r="A258" t="s">
        <v>251</v>
      </c>
    </row>
    <row r="259" spans="1:1" ht="15">
      <c r="A259" t="s">
        <v>252</v>
      </c>
    </row>
    <row r="260" spans="1:1" ht="15">
      <c r="A260" t="s">
        <v>253</v>
      </c>
    </row>
    <row r="261" spans="1:1" ht="15">
      <c r="A261" t="s">
        <v>254</v>
      </c>
    </row>
    <row r="262" spans="1:1" ht="15">
      <c r="A262" t="s">
        <v>255</v>
      </c>
    </row>
    <row r="263" spans="1:1" ht="15">
      <c r="A263" t="s">
        <v>256</v>
      </c>
    </row>
    <row r="264" spans="1:1" ht="15">
      <c r="A264" t="s">
        <v>257</v>
      </c>
    </row>
    <row r="265" spans="1:1" ht="15">
      <c r="A265" t="s">
        <v>258</v>
      </c>
    </row>
    <row r="266" spans="1:1" ht="15">
      <c r="A266" t="s">
        <v>259</v>
      </c>
    </row>
    <row r="267" spans="1:1" ht="15">
      <c r="A267" t="s">
        <v>260</v>
      </c>
    </row>
    <row r="268" spans="1:1" ht="15">
      <c r="A268" t="s">
        <v>263</v>
      </c>
    </row>
    <row r="269" spans="1:1" ht="15">
      <c r="A269" t="s">
        <v>264</v>
      </c>
    </row>
    <row r="270" spans="1:1" ht="15">
      <c r="A270" t="s">
        <v>265</v>
      </c>
    </row>
    <row r="271" spans="1:1" ht="15">
      <c r="A271" t="s">
        <v>266</v>
      </c>
    </row>
    <row r="272" spans="1:1" ht="15">
      <c r="A272" t="s">
        <v>267</v>
      </c>
    </row>
    <row r="273" spans="1:1" ht="15">
      <c r="A273" t="s">
        <v>270</v>
      </c>
    </row>
    <row r="274" spans="1:1" ht="15">
      <c r="A274" t="s">
        <v>271</v>
      </c>
    </row>
    <row r="275" spans="1:1" ht="15">
      <c r="A275" t="s">
        <v>272</v>
      </c>
    </row>
    <row r="276" spans="1:1" ht="15">
      <c r="A276" t="s">
        <v>273</v>
      </c>
    </row>
    <row r="277" spans="1:1" ht="15">
      <c r="A277" t="s">
        <v>275</v>
      </c>
    </row>
    <row r="278" spans="1:1" ht="15">
      <c r="A278" t="s">
        <v>276</v>
      </c>
    </row>
    <row r="279" spans="1:1" ht="15">
      <c r="A279" t="s">
        <v>277</v>
      </c>
    </row>
    <row r="280" spans="1:1" ht="15">
      <c r="A280" t="s">
        <v>278</v>
      </c>
    </row>
    <row r="281" spans="1:1" ht="15">
      <c r="A281" t="s">
        <v>293</v>
      </c>
    </row>
    <row r="282" spans="1:1" ht="15">
      <c r="A282" t="s">
        <v>295</v>
      </c>
    </row>
    <row r="283" spans="1:1" ht="15">
      <c r="A283" t="s">
        <v>298</v>
      </c>
    </row>
    <row r="284" spans="1:1" ht="15">
      <c r="A284" t="s">
        <v>299</v>
      </c>
    </row>
    <row r="285" spans="1:1" ht="15">
      <c r="A285" t="s">
        <v>300</v>
      </c>
    </row>
    <row r="286" spans="1:1" ht="15">
      <c r="A286" t="s">
        <v>301</v>
      </c>
    </row>
    <row r="287" spans="1:1" ht="15">
      <c r="A287" t="s">
        <v>302</v>
      </c>
    </row>
    <row r="288" spans="1:1" ht="15">
      <c r="A288" t="s">
        <v>303</v>
      </c>
    </row>
    <row r="289" spans="1:1" ht="15">
      <c r="A289" t="s">
        <v>304</v>
      </c>
    </row>
    <row r="290" spans="1:1" ht="15">
      <c r="A290" t="s">
        <v>305</v>
      </c>
    </row>
    <row r="291" spans="1:1" ht="15">
      <c r="A291" t="s">
        <v>307</v>
      </c>
    </row>
    <row r="292" spans="1:1" ht="15">
      <c r="A292" t="s">
        <v>308</v>
      </c>
    </row>
    <row r="293" spans="1:1" ht="15">
      <c r="A293" t="s">
        <v>308</v>
      </c>
    </row>
    <row r="294" spans="1:1" ht="15">
      <c r="A294" t="s">
        <v>309</v>
      </c>
    </row>
    <row r="295" spans="1:1" ht="15">
      <c r="A295" t="s">
        <v>310</v>
      </c>
    </row>
    <row r="296" spans="1:1" ht="15">
      <c r="A296" t="s">
        <v>311</v>
      </c>
    </row>
    <row r="297" spans="1:1" ht="15">
      <c r="A297" t="s">
        <v>312</v>
      </c>
    </row>
    <row r="298" spans="1:1" ht="15">
      <c r="A298" t="s">
        <v>313</v>
      </c>
    </row>
    <row r="299" spans="1:1" ht="15">
      <c r="A299" t="s">
        <v>314</v>
      </c>
    </row>
    <row r="300" spans="1:1" ht="15">
      <c r="A300" t="s">
        <v>315</v>
      </c>
    </row>
    <row r="301" spans="1:1" ht="15">
      <c r="A301" t="s">
        <v>316</v>
      </c>
    </row>
    <row r="302" spans="1:1" ht="15">
      <c r="A302" t="s">
        <v>317</v>
      </c>
    </row>
    <row r="303" spans="1:1" ht="15">
      <c r="A303" t="s">
        <v>318</v>
      </c>
    </row>
    <row r="304" spans="1:1" ht="15">
      <c r="A304" t="s">
        <v>319</v>
      </c>
    </row>
    <row r="305" spans="1:1" ht="15">
      <c r="A305" t="s">
        <v>320</v>
      </c>
    </row>
    <row r="306" spans="1:1" ht="15">
      <c r="A306" t="s">
        <v>321</v>
      </c>
    </row>
    <row r="307" spans="1:1" ht="15">
      <c r="A307" t="s">
        <v>322</v>
      </c>
    </row>
    <row r="308" spans="1:1" ht="15">
      <c r="A308" t="s">
        <v>323</v>
      </c>
    </row>
    <row r="309" spans="1:1" ht="15">
      <c r="A309" t="s">
        <v>324</v>
      </c>
    </row>
    <row r="310" spans="1:1" ht="15">
      <c r="A310" t="s">
        <v>326</v>
      </c>
    </row>
    <row r="311" spans="1:1" ht="15">
      <c r="A311" t="s">
        <v>327</v>
      </c>
    </row>
    <row r="312" spans="1:1" ht="15">
      <c r="A312" t="s">
        <v>328</v>
      </c>
    </row>
    <row r="313" spans="1:1" ht="15">
      <c r="A313" t="s">
        <v>329</v>
      </c>
    </row>
    <row r="314" spans="1:1" ht="15">
      <c r="A314" t="s">
        <v>330</v>
      </c>
    </row>
    <row r="315" spans="1:1" ht="15">
      <c r="A315" t="s">
        <v>331</v>
      </c>
    </row>
    <row r="316" spans="1:1" ht="15">
      <c r="A316" t="s">
        <v>332</v>
      </c>
    </row>
    <row r="317" spans="1:1" ht="15">
      <c r="A317" t="s">
        <v>333</v>
      </c>
    </row>
    <row r="318" spans="1:1" ht="15">
      <c r="A318" t="s">
        <v>335</v>
      </c>
    </row>
    <row r="319" spans="1:1" ht="15">
      <c r="A319" t="s">
        <v>336</v>
      </c>
    </row>
    <row r="320" spans="1:1" ht="15">
      <c r="A320" t="s">
        <v>337</v>
      </c>
    </row>
    <row r="321" spans="1:1" ht="15">
      <c r="A321" t="s">
        <v>338</v>
      </c>
    </row>
    <row r="322" spans="1:1" ht="15">
      <c r="A322" t="s">
        <v>339</v>
      </c>
    </row>
    <row r="323" spans="1:1" ht="15">
      <c r="A323" t="s">
        <v>340</v>
      </c>
    </row>
    <row r="324" spans="1:1" ht="15">
      <c r="A324" t="s">
        <v>341</v>
      </c>
    </row>
    <row r="325" spans="1:1" ht="15">
      <c r="A325" t="s">
        <v>342</v>
      </c>
    </row>
    <row r="326" spans="1:1" ht="15">
      <c r="A326" t="s">
        <v>343</v>
      </c>
    </row>
    <row r="327" spans="1:1" ht="15">
      <c r="A327" t="s">
        <v>344</v>
      </c>
    </row>
    <row r="328" spans="1:1" ht="15">
      <c r="A328" t="s">
        <v>345</v>
      </c>
    </row>
    <row r="329" spans="1:1" ht="15">
      <c r="A329" t="s">
        <v>346</v>
      </c>
    </row>
    <row r="330" spans="1:1" ht="15">
      <c r="A330" t="s">
        <v>347</v>
      </c>
    </row>
    <row r="331" spans="1:1" ht="15">
      <c r="A331" t="s">
        <v>348</v>
      </c>
    </row>
    <row r="332" spans="1:1" ht="15">
      <c r="A332" t="s">
        <v>349</v>
      </c>
    </row>
    <row r="333" spans="1:1" ht="15">
      <c r="A333" t="s">
        <v>350</v>
      </c>
    </row>
    <row r="334" spans="1:1" ht="15">
      <c r="A334" t="s">
        <v>351</v>
      </c>
    </row>
    <row r="335" spans="1:1" ht="15">
      <c r="A335" t="s">
        <v>352</v>
      </c>
    </row>
    <row r="336" spans="1:1" ht="15">
      <c r="A336" t="s">
        <v>353</v>
      </c>
    </row>
    <row r="337" spans="1:1" ht="15">
      <c r="A337" t="s">
        <v>354</v>
      </c>
    </row>
    <row r="338" spans="1:1" ht="15">
      <c r="A338" t="s">
        <v>355</v>
      </c>
    </row>
    <row r="339" spans="1:1" ht="15">
      <c r="A339" t="s">
        <v>356</v>
      </c>
    </row>
    <row r="340" spans="1:1" ht="15">
      <c r="A340" t="s">
        <v>357</v>
      </c>
    </row>
    <row r="341" spans="1:1" ht="15">
      <c r="A341" t="s">
        <v>358</v>
      </c>
    </row>
    <row r="342" spans="1:1" ht="15">
      <c r="A342" t="s">
        <v>359</v>
      </c>
    </row>
    <row r="343" spans="1:1" ht="15">
      <c r="A343" t="s">
        <v>360</v>
      </c>
    </row>
    <row r="344" spans="1:1" ht="15">
      <c r="A344" t="s">
        <v>361</v>
      </c>
    </row>
    <row r="345" spans="1:1" ht="15">
      <c r="A345" t="s">
        <v>362</v>
      </c>
    </row>
    <row r="346" spans="1:1" ht="15">
      <c r="A346" t="s">
        <v>363</v>
      </c>
    </row>
    <row r="347" spans="1:1" ht="15">
      <c r="A347" t="s">
        <v>364</v>
      </c>
    </row>
    <row r="348" spans="1:1" ht="15">
      <c r="A348" t="s">
        <v>365</v>
      </c>
    </row>
    <row r="349" spans="1:1" ht="15">
      <c r="A349" t="s">
        <v>366</v>
      </c>
    </row>
    <row r="350" spans="1:1" ht="15">
      <c r="A350" t="s">
        <v>367</v>
      </c>
    </row>
    <row r="351" spans="1:1" ht="15">
      <c r="A351" t="s">
        <v>368</v>
      </c>
    </row>
    <row r="352" spans="1:1" ht="15">
      <c r="A352" t="s">
        <v>369</v>
      </c>
    </row>
    <row r="353" spans="1:1" ht="15">
      <c r="A353" t="s">
        <v>370</v>
      </c>
    </row>
    <row r="354" spans="1:1" ht="15">
      <c r="A354" t="s">
        <v>371</v>
      </c>
    </row>
    <row r="355" spans="1:1" ht="15">
      <c r="A355" t="s">
        <v>372</v>
      </c>
    </row>
    <row r="356" spans="1:1" ht="15">
      <c r="A356" t="s">
        <v>373</v>
      </c>
    </row>
    <row r="357" spans="1:1" ht="15">
      <c r="A357" t="s">
        <v>374</v>
      </c>
    </row>
    <row r="358" spans="1:1" ht="15">
      <c r="A358" t="s">
        <v>375</v>
      </c>
    </row>
    <row r="359" spans="1:1" ht="15">
      <c r="A359" t="s">
        <v>376</v>
      </c>
    </row>
    <row r="360" spans="1:1" ht="15">
      <c r="A360" t="s">
        <v>377</v>
      </c>
    </row>
    <row r="361" spans="1:1" ht="15">
      <c r="A361" t="s">
        <v>378</v>
      </c>
    </row>
    <row r="362" spans="1:1" ht="15">
      <c r="A362" t="s">
        <v>379</v>
      </c>
    </row>
    <row r="363" spans="1:1" ht="15">
      <c r="A363" t="s">
        <v>380</v>
      </c>
    </row>
    <row r="364" spans="1:1" ht="15">
      <c r="A364" t="s">
        <v>381</v>
      </c>
    </row>
    <row r="365" spans="1:1" ht="15">
      <c r="A365" t="s">
        <v>382</v>
      </c>
    </row>
    <row r="366" spans="1:1" ht="15">
      <c r="A366" t="s">
        <v>383</v>
      </c>
    </row>
    <row r="367" spans="1:1" ht="15">
      <c r="A367" t="s">
        <v>384</v>
      </c>
    </row>
    <row r="368" spans="1:1" ht="15">
      <c r="A368" t="s">
        <v>385</v>
      </c>
    </row>
    <row r="369" spans="1:1" ht="15">
      <c r="A369" t="s">
        <v>386</v>
      </c>
    </row>
    <row r="370" spans="1:1" ht="15">
      <c r="A370" t="s">
        <v>387</v>
      </c>
    </row>
    <row r="371" spans="1:1" ht="15">
      <c r="A371" t="s">
        <v>388</v>
      </c>
    </row>
    <row r="372" spans="1:1" ht="15">
      <c r="A372" t="s">
        <v>389</v>
      </c>
    </row>
    <row r="373" spans="1:1" ht="15">
      <c r="A373" t="s">
        <v>390</v>
      </c>
    </row>
    <row r="374" spans="1:1" ht="15">
      <c r="A374" t="s">
        <v>391</v>
      </c>
    </row>
    <row r="375" spans="1:1" ht="15">
      <c r="A375" t="s">
        <v>392</v>
      </c>
    </row>
    <row r="376" spans="1:1" ht="15">
      <c r="A376" t="s">
        <v>397</v>
      </c>
    </row>
    <row r="377" spans="1:1" ht="15">
      <c r="A377" t="s">
        <v>398</v>
      </c>
    </row>
    <row r="378" spans="1:1" ht="15">
      <c r="A378" t="s">
        <v>399</v>
      </c>
    </row>
    <row r="379" spans="1:1" ht="15">
      <c r="A379" t="s">
        <v>400</v>
      </c>
    </row>
    <row r="380" spans="1:1" ht="15">
      <c r="A380" t="s">
        <v>401</v>
      </c>
    </row>
    <row r="381" spans="1:1" ht="15">
      <c r="A381" t="s">
        <v>402</v>
      </c>
    </row>
    <row r="382" spans="1:1" ht="15">
      <c r="A382" t="s">
        <v>403</v>
      </c>
    </row>
    <row r="383" spans="1:1" ht="15">
      <c r="A383" t="s">
        <v>404</v>
      </c>
    </row>
    <row r="384" spans="1:1" ht="15">
      <c r="A384" t="s">
        <v>405</v>
      </c>
    </row>
    <row r="385" spans="1:1" ht="15">
      <c r="A385" t="s">
        <v>406</v>
      </c>
    </row>
    <row r="386" spans="1:1" ht="15">
      <c r="A386" t="s">
        <v>407</v>
      </c>
    </row>
    <row r="387" spans="1:1" ht="15">
      <c r="A387" t="s">
        <v>408</v>
      </c>
    </row>
    <row r="388" spans="1:1" ht="15">
      <c r="A388" t="s">
        <v>409</v>
      </c>
    </row>
    <row r="389" spans="1:1" ht="15">
      <c r="A389" t="s">
        <v>410</v>
      </c>
    </row>
    <row r="390" spans="1:1" ht="15">
      <c r="A390" t="s">
        <v>411</v>
      </c>
    </row>
    <row r="391" spans="1:1" ht="15">
      <c r="A391" t="s">
        <v>412</v>
      </c>
    </row>
    <row r="392" spans="1:1" ht="15">
      <c r="A392" t="s">
        <v>413</v>
      </c>
    </row>
    <row r="393" spans="1:1" ht="15">
      <c r="A393" t="s">
        <v>414</v>
      </c>
    </row>
    <row r="394" spans="1:1" ht="15">
      <c r="A394" t="s">
        <v>417</v>
      </c>
    </row>
    <row r="395" spans="1:1" ht="15">
      <c r="A395" t="s">
        <v>418</v>
      </c>
    </row>
    <row r="396" spans="1:1" ht="15">
      <c r="A396" t="s">
        <v>419</v>
      </c>
    </row>
    <row r="397" spans="1:1" ht="15">
      <c r="A397" t="s">
        <v>420</v>
      </c>
    </row>
    <row r="398" spans="1:1" ht="15">
      <c r="A398" t="s">
        <v>421</v>
      </c>
    </row>
    <row r="399" spans="1:1" ht="15">
      <c r="A399" t="s">
        <v>422</v>
      </c>
    </row>
    <row r="400" spans="1:1" ht="15">
      <c r="A400" t="s">
        <v>423</v>
      </c>
    </row>
    <row r="401" spans="1:1" ht="15">
      <c r="A401" t="s">
        <v>424</v>
      </c>
    </row>
    <row r="402" spans="1:1" ht="15">
      <c r="A402" t="s">
        <v>425</v>
      </c>
    </row>
    <row r="403" spans="1:1" ht="15">
      <c r="A403" t="s">
        <v>426</v>
      </c>
    </row>
    <row r="404" spans="1:1" ht="15">
      <c r="A404" t="s">
        <v>427</v>
      </c>
    </row>
    <row r="405" spans="1:1" ht="15">
      <c r="A405" t="s">
        <v>428</v>
      </c>
    </row>
    <row r="406" spans="1:1" ht="15">
      <c r="A406" t="s">
        <v>429</v>
      </c>
    </row>
    <row r="407" spans="1:1" ht="15">
      <c r="A407" t="s">
        <v>430</v>
      </c>
    </row>
    <row r="408" spans="1:1" ht="15">
      <c r="A408" t="s">
        <v>431</v>
      </c>
    </row>
    <row r="409" spans="1:1" ht="15">
      <c r="A409" t="s">
        <v>432</v>
      </c>
    </row>
    <row r="410" spans="1:1" ht="15">
      <c r="A410" t="s">
        <v>433</v>
      </c>
    </row>
    <row r="411" spans="1:1" ht="15">
      <c r="A411" t="s">
        <v>434</v>
      </c>
    </row>
    <row r="412" spans="1:1" ht="15">
      <c r="A412" t="s">
        <v>435</v>
      </c>
    </row>
    <row r="413" spans="1:1" ht="15">
      <c r="A413" t="s">
        <v>436</v>
      </c>
    </row>
    <row r="414" spans="1:1" ht="15">
      <c r="A414" t="s">
        <v>437</v>
      </c>
    </row>
    <row r="415" spans="1:1" ht="15">
      <c r="A415" t="s">
        <v>438</v>
      </c>
    </row>
    <row r="416" spans="1:1" ht="15">
      <c r="A416" t="s">
        <v>439</v>
      </c>
    </row>
    <row r="417" spans="1:1" ht="15">
      <c r="A417" t="s">
        <v>440</v>
      </c>
    </row>
    <row r="418" spans="1:1" ht="15">
      <c r="A418" t="s">
        <v>441</v>
      </c>
    </row>
    <row r="419" spans="1:1" ht="15">
      <c r="A419" t="s">
        <v>442</v>
      </c>
    </row>
    <row r="420" spans="1:1" ht="15">
      <c r="A420" t="s">
        <v>443</v>
      </c>
    </row>
    <row r="421" spans="1:1" ht="15">
      <c r="A421" t="s">
        <v>444</v>
      </c>
    </row>
    <row r="422" spans="1:1" ht="15">
      <c r="A422" t="s">
        <v>445</v>
      </c>
    </row>
    <row r="423" spans="1:1" ht="15">
      <c r="A423" t="s">
        <v>446</v>
      </c>
    </row>
    <row r="424" spans="1:1" ht="15">
      <c r="A424" t="s">
        <v>447</v>
      </c>
    </row>
    <row r="425" spans="1:1" ht="15">
      <c r="A425" t="s">
        <v>448</v>
      </c>
    </row>
    <row r="426" spans="1:1" ht="15">
      <c r="A426" t="s">
        <v>449</v>
      </c>
    </row>
    <row r="427" spans="1:1" ht="15">
      <c r="A427" t="s">
        <v>450</v>
      </c>
    </row>
    <row r="428" spans="1:1" ht="15">
      <c r="A428" t="s">
        <v>451</v>
      </c>
    </row>
    <row r="429" spans="1:1" ht="15">
      <c r="A429" t="s">
        <v>452</v>
      </c>
    </row>
    <row r="430" spans="1:1" ht="15">
      <c r="A430" t="s">
        <v>453</v>
      </c>
    </row>
    <row r="431" spans="1:1" ht="15">
      <c r="A431" t="s">
        <v>454</v>
      </c>
    </row>
    <row r="432" spans="1:1" ht="15">
      <c r="A432" t="s">
        <v>455</v>
      </c>
    </row>
    <row r="433" spans="1:1" ht="15">
      <c r="A433" t="s">
        <v>1</v>
      </c>
    </row>
    <row r="434" spans="1:1" ht="15">
      <c r="A434" t="s">
        <v>1</v>
      </c>
    </row>
    <row r="435" spans="1:1" ht="15">
      <c r="A435" t="s">
        <v>457</v>
      </c>
    </row>
    <row r="436" spans="1:1" ht="15">
      <c r="A436" t="s">
        <v>458</v>
      </c>
    </row>
    <row r="437" spans="1:1" ht="15">
      <c r="A437" t="s">
        <v>459</v>
      </c>
    </row>
    <row r="438" spans="1:1" ht="15">
      <c r="A438" t="s">
        <v>460</v>
      </c>
    </row>
    <row r="439" spans="1:1" ht="15">
      <c r="A439" t="s">
        <v>461</v>
      </c>
    </row>
    <row r="440" spans="1:1" ht="15">
      <c r="A440" t="s">
        <v>462</v>
      </c>
    </row>
    <row r="441" spans="1:1" ht="15">
      <c r="A441" t="s">
        <v>463</v>
      </c>
    </row>
    <row r="442" spans="1:1" ht="15">
      <c r="A442" t="s">
        <v>464</v>
      </c>
    </row>
    <row r="443" spans="1:1" ht="15">
      <c r="A443" t="s">
        <v>465</v>
      </c>
    </row>
    <row r="444" spans="1:1" ht="15">
      <c r="A444" t="s">
        <v>466</v>
      </c>
    </row>
    <row r="445" spans="1:1" ht="15">
      <c r="A445" t="s">
        <v>467</v>
      </c>
    </row>
    <row r="446" spans="1:1" ht="15">
      <c r="A446" t="s">
        <v>468</v>
      </c>
    </row>
    <row r="447" spans="1:1" ht="15">
      <c r="A447" t="s">
        <v>469</v>
      </c>
    </row>
    <row r="448" spans="1:1" ht="15">
      <c r="A448" t="s">
        <v>470</v>
      </c>
    </row>
    <row r="449" spans="1:1" ht="15">
      <c r="A449" t="s">
        <v>471</v>
      </c>
    </row>
    <row r="450" spans="1:1" ht="15">
      <c r="A450" t="s">
        <v>472</v>
      </c>
    </row>
    <row r="451" spans="1:1" ht="15">
      <c r="A451" t="s">
        <v>473</v>
      </c>
    </row>
    <row r="452" spans="1:1" ht="15">
      <c r="A452" t="s">
        <v>474</v>
      </c>
    </row>
    <row r="453" spans="1:1" ht="15">
      <c r="A453" t="s">
        <v>475</v>
      </c>
    </row>
    <row r="454" spans="1:1" ht="15">
      <c r="A454" t="s">
        <v>476</v>
      </c>
    </row>
    <row r="455" spans="1:1" ht="15">
      <c r="A455" t="s">
        <v>477</v>
      </c>
    </row>
    <row r="456" spans="1:1" ht="15">
      <c r="A456" t="s">
        <v>478</v>
      </c>
    </row>
    <row r="457" spans="1:1" ht="15">
      <c r="A457" t="s">
        <v>479</v>
      </c>
    </row>
    <row r="458" spans="1:1" ht="15">
      <c r="A458" t="s">
        <v>480</v>
      </c>
    </row>
    <row r="459" spans="1:1" ht="15">
      <c r="A459" t="s">
        <v>481</v>
      </c>
    </row>
    <row r="460" spans="1:1" ht="15">
      <c r="A460" t="s">
        <v>482</v>
      </c>
    </row>
    <row r="461" spans="1:1" ht="15">
      <c r="A461" t="s">
        <v>483</v>
      </c>
    </row>
    <row r="462" spans="1:1" ht="15">
      <c r="A462" t="s">
        <v>484</v>
      </c>
    </row>
    <row r="463" spans="1:1" ht="15">
      <c r="A463" t="s">
        <v>486</v>
      </c>
    </row>
    <row r="464" spans="1:1" ht="15">
      <c r="A464" t="s">
        <v>487</v>
      </c>
    </row>
    <row r="465" spans="1:1" ht="15">
      <c r="A465" t="s">
        <v>488</v>
      </c>
    </row>
    <row r="466" spans="1:1" ht="15">
      <c r="A466" t="s">
        <v>489</v>
      </c>
    </row>
    <row r="467" spans="1:1" ht="15">
      <c r="A467" t="s">
        <v>490</v>
      </c>
    </row>
    <row r="468" spans="1:1" ht="15">
      <c r="A468" t="s">
        <v>491</v>
      </c>
    </row>
    <row r="469" spans="1:1" ht="15">
      <c r="A469" t="s">
        <v>492</v>
      </c>
    </row>
    <row r="470" spans="1:1" ht="15">
      <c r="A470" t="s">
        <v>493</v>
      </c>
    </row>
    <row r="471" spans="1:1" ht="15">
      <c r="A471" t="s">
        <v>494</v>
      </c>
    </row>
    <row r="472" spans="1:1" ht="15">
      <c r="A472" t="s">
        <v>495</v>
      </c>
    </row>
    <row r="473" spans="1:1" ht="15">
      <c r="A473" t="s">
        <v>496</v>
      </c>
    </row>
    <row r="474" spans="1:1" ht="15">
      <c r="A474" t="s">
        <v>497</v>
      </c>
    </row>
    <row r="475" spans="1:1" ht="15">
      <c r="A475" t="s">
        <v>498</v>
      </c>
    </row>
    <row r="476" spans="1:1" ht="15">
      <c r="A476" t="s">
        <v>499</v>
      </c>
    </row>
    <row r="477" spans="1:1" ht="15">
      <c r="A477" t="s">
        <v>499</v>
      </c>
    </row>
    <row r="478" spans="1:1" ht="15">
      <c r="A478" t="s">
        <v>548</v>
      </c>
    </row>
    <row r="479" spans="1:1" ht="15">
      <c r="A479" t="s">
        <v>549</v>
      </c>
    </row>
    <row r="480" spans="1:1" ht="15">
      <c r="A480" t="s">
        <v>550</v>
      </c>
    </row>
    <row r="481" spans="1:1" ht="15">
      <c r="A481" t="s">
        <v>550</v>
      </c>
    </row>
    <row r="482" spans="1:1" ht="15">
      <c r="A482" t="s">
        <v>551</v>
      </c>
    </row>
    <row r="483" spans="1:1" ht="15">
      <c r="A483" t="s">
        <v>551</v>
      </c>
    </row>
    <row r="484" spans="1:1" ht="15">
      <c r="A484" t="s">
        <v>552</v>
      </c>
    </row>
    <row r="485" spans="1:1" ht="15">
      <c r="A485" t="s">
        <v>554</v>
      </c>
    </row>
    <row r="486" spans="1:1" ht="15">
      <c r="A486" t="s">
        <v>555</v>
      </c>
    </row>
    <row r="487" spans="1:1" ht="15">
      <c r="A487" t="s">
        <v>556</v>
      </c>
    </row>
    <row r="488" spans="1:1" ht="15">
      <c r="A488" t="s">
        <v>557</v>
      </c>
    </row>
    <row r="489" spans="1:1" ht="15">
      <c r="A489" t="s">
        <v>558</v>
      </c>
    </row>
    <row r="490" spans="1:1" ht="15">
      <c r="A490" t="s">
        <v>560</v>
      </c>
    </row>
    <row r="491" spans="1:1" ht="15">
      <c r="A491" t="s">
        <v>561</v>
      </c>
    </row>
    <row r="492" spans="1:1" ht="15">
      <c r="A492" t="s">
        <v>562</v>
      </c>
    </row>
    <row r="493" spans="1:1" ht="15">
      <c r="A493" t="s">
        <v>563</v>
      </c>
    </row>
    <row r="494" spans="1:1" ht="15">
      <c r="A494" t="s">
        <v>564</v>
      </c>
    </row>
    <row r="495" spans="1:1" ht="15">
      <c r="A495" t="s">
        <v>565</v>
      </c>
    </row>
    <row r="496" spans="1:1" ht="15">
      <c r="A496" t="s">
        <v>566</v>
      </c>
    </row>
    <row r="497" spans="1:1" ht="15">
      <c r="A497" t="s">
        <v>567</v>
      </c>
    </row>
    <row r="498" spans="1:1" ht="15">
      <c r="A498" t="s">
        <v>568</v>
      </c>
    </row>
    <row r="499" spans="1:1" ht="15">
      <c r="A499" t="s">
        <v>569</v>
      </c>
    </row>
    <row r="500" spans="1:1" ht="15">
      <c r="A500" t="s">
        <v>570</v>
      </c>
    </row>
    <row r="501" spans="1:1" ht="15">
      <c r="A501" t="s">
        <v>571</v>
      </c>
    </row>
    <row r="502" spans="1:1" ht="15">
      <c r="A502" t="s">
        <v>572</v>
      </c>
    </row>
    <row r="503" spans="1:1" ht="15">
      <c r="A503" t="s">
        <v>573</v>
      </c>
    </row>
    <row r="504" spans="1:1" ht="15">
      <c r="A504" t="s">
        <v>574</v>
      </c>
    </row>
    <row r="505" spans="1:1" ht="15">
      <c r="A505" t="s">
        <v>575</v>
      </c>
    </row>
    <row r="506" spans="1:1" ht="15">
      <c r="A506" t="s">
        <v>590</v>
      </c>
    </row>
    <row r="507" spans="1:1">
      <c r="A507" t="s">
        <v>592</v>
      </c>
    </row>
    <row r="508" spans="1:1">
      <c r="A508" t="s">
        <v>593</v>
      </c>
    </row>
    <row r="509" spans="1:1">
      <c r="A509" t="s">
        <v>594</v>
      </c>
    </row>
    <row r="510" spans="1:1">
      <c r="A510" t="s">
        <v>595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22"/>
  <sheetViews>
    <sheetView showGridLines="0" zoomScale="70" zoomScaleNormal="70" workbookViewId="0">
      <pane xSplit="7" ySplit="2" topLeftCell="BP100" activePane="bottomRight" state="frozen"/>
      <selection pane="bottomRight" activeCell="A126" sqref="A126"/>
      <selection pane="bottomLeft" activeCell="A3" sqref="A3"/>
      <selection pane="topRight" activeCell="H1" sqref="H1"/>
    </sheetView>
  </sheetViews>
  <sheetFormatPr defaultColWidth="9.28515625" defaultRowHeight="14.65" outlineLevelRow="1"/>
  <cols>
    <col min="1" max="1" width="45.140625" style="11" bestFit="1" customWidth="1"/>
    <col min="2" max="3" width="14.28515625" style="14" bestFit="1" customWidth="1"/>
    <col min="4" max="4" width="25.7109375" bestFit="1" customWidth="1"/>
    <col min="5" max="5" width="9.28515625" bestFit="1" customWidth="1"/>
    <col min="6" max="6" width="6.140625" bestFit="1" customWidth="1"/>
    <col min="7" max="7" width="10" bestFit="1" customWidth="1"/>
    <col min="8" max="38" width="13.7109375" bestFit="1" customWidth="1"/>
    <col min="39" max="39" width="8.42578125" style="30" bestFit="1" customWidth="1"/>
    <col min="40" max="48" width="13.7109375" bestFit="1" customWidth="1"/>
    <col min="49" max="49" width="36.5703125" bestFit="1" customWidth="1"/>
    <col min="50" max="70" width="13.7109375" bestFit="1" customWidth="1"/>
    <col min="71" max="71" width="9.28515625" bestFit="1" customWidth="1"/>
    <col min="72" max="443" width="10.28515625" bestFit="1" customWidth="1"/>
  </cols>
  <sheetData>
    <row r="1" spans="1:71">
      <c r="A1" s="34" t="s">
        <v>637</v>
      </c>
      <c r="B1" s="35">
        <v>45963</v>
      </c>
      <c r="C1" s="36" t="s">
        <v>638</v>
      </c>
      <c r="D1" s="35">
        <v>45964</v>
      </c>
      <c r="E1" s="37" t="s">
        <v>639</v>
      </c>
      <c r="F1" s="26" t="s">
        <v>640</v>
      </c>
      <c r="G1" s="26" t="s">
        <v>5</v>
      </c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31"/>
    </row>
    <row r="2" spans="1:71" s="1" customFormat="1">
      <c r="A2" s="60" t="s">
        <v>641</v>
      </c>
      <c r="B2" s="61" t="s">
        <v>642</v>
      </c>
      <c r="C2" s="61" t="s">
        <v>2</v>
      </c>
      <c r="D2" s="61" t="s">
        <v>643</v>
      </c>
      <c r="E2" s="62" t="s">
        <v>6</v>
      </c>
      <c r="F2" s="63" t="s">
        <v>4</v>
      </c>
      <c r="G2" s="64" t="s">
        <v>644</v>
      </c>
      <c r="H2" s="65" t="s">
        <v>645</v>
      </c>
      <c r="I2" s="65" t="s">
        <v>646</v>
      </c>
      <c r="J2" s="65" t="s">
        <v>647</v>
      </c>
      <c r="K2" s="65" t="s">
        <v>648</v>
      </c>
      <c r="L2" s="65" t="s">
        <v>649</v>
      </c>
      <c r="M2" s="65" t="s">
        <v>650</v>
      </c>
      <c r="N2" s="65" t="s">
        <v>651</v>
      </c>
      <c r="O2" s="65" t="s">
        <v>652</v>
      </c>
      <c r="P2" s="65" t="s">
        <v>653</v>
      </c>
      <c r="Q2" s="65" t="s">
        <v>654</v>
      </c>
      <c r="R2" s="65" t="s">
        <v>655</v>
      </c>
      <c r="S2" s="65" t="s">
        <v>656</v>
      </c>
      <c r="T2" s="65" t="s">
        <v>657</v>
      </c>
      <c r="U2" s="65" t="s">
        <v>658</v>
      </c>
      <c r="V2" s="65" t="s">
        <v>659</v>
      </c>
      <c r="W2" s="65" t="s">
        <v>660</v>
      </c>
      <c r="X2" s="65" t="s">
        <v>661</v>
      </c>
      <c r="Y2" s="65" t="s">
        <v>662</v>
      </c>
      <c r="Z2" s="65" t="s">
        <v>663</v>
      </c>
      <c r="AA2" s="65" t="s">
        <v>664</v>
      </c>
      <c r="AB2" s="65" t="s">
        <v>665</v>
      </c>
      <c r="AC2" s="65" t="s">
        <v>666</v>
      </c>
      <c r="AD2" s="65" t="s">
        <v>667</v>
      </c>
      <c r="AE2" s="65" t="s">
        <v>668</v>
      </c>
      <c r="AF2" s="65" t="s">
        <v>669</v>
      </c>
      <c r="AG2" s="65" t="s">
        <v>670</v>
      </c>
      <c r="AH2" s="65" t="s">
        <v>671</v>
      </c>
      <c r="AI2" s="65" t="s">
        <v>672</v>
      </c>
      <c r="AJ2" s="65" t="s">
        <v>673</v>
      </c>
      <c r="AK2" s="65" t="s">
        <v>674</v>
      </c>
      <c r="AL2" s="65" t="s">
        <v>675</v>
      </c>
      <c r="AM2" s="66" t="s">
        <v>676</v>
      </c>
      <c r="AN2" s="67" t="s">
        <v>677</v>
      </c>
      <c r="AO2" s="67" t="s">
        <v>678</v>
      </c>
      <c r="AP2" s="67" t="s">
        <v>679</v>
      </c>
      <c r="AQ2" s="67" t="s">
        <v>680</v>
      </c>
      <c r="AR2" s="67" t="s">
        <v>681</v>
      </c>
      <c r="AS2" s="67" t="s">
        <v>682</v>
      </c>
      <c r="AT2" s="67" t="s">
        <v>683</v>
      </c>
      <c r="AU2" s="67" t="s">
        <v>684</v>
      </c>
      <c r="AV2" s="67" t="s">
        <v>685</v>
      </c>
      <c r="AW2" s="67" t="s">
        <v>686</v>
      </c>
      <c r="AX2" s="67" t="s">
        <v>687</v>
      </c>
      <c r="AY2" s="67" t="s">
        <v>688</v>
      </c>
      <c r="AZ2" s="67" t="s">
        <v>689</v>
      </c>
      <c r="BA2" s="67" t="s">
        <v>690</v>
      </c>
      <c r="BB2" s="67" t="s">
        <v>691</v>
      </c>
      <c r="BC2" s="67" t="s">
        <v>692</v>
      </c>
      <c r="BD2" s="67" t="s">
        <v>693</v>
      </c>
      <c r="BE2" s="67" t="s">
        <v>694</v>
      </c>
      <c r="BF2" s="67" t="s">
        <v>695</v>
      </c>
      <c r="BG2" s="67" t="s">
        <v>696</v>
      </c>
      <c r="BH2" s="67" t="s">
        <v>697</v>
      </c>
      <c r="BI2" s="67" t="s">
        <v>698</v>
      </c>
      <c r="BJ2" s="67" t="s">
        <v>699</v>
      </c>
      <c r="BK2" s="67" t="s">
        <v>700</v>
      </c>
      <c r="BL2" s="67" t="s">
        <v>701</v>
      </c>
      <c r="BM2" s="67" t="s">
        <v>702</v>
      </c>
      <c r="BN2" s="67" t="s">
        <v>703</v>
      </c>
      <c r="BO2" s="67" t="s">
        <v>704</v>
      </c>
      <c r="BP2" s="67" t="s">
        <v>705</v>
      </c>
      <c r="BQ2" s="67" t="s">
        <v>706</v>
      </c>
      <c r="BR2" s="67" t="s">
        <v>707</v>
      </c>
      <c r="BS2" s="59" t="s">
        <v>708</v>
      </c>
    </row>
    <row r="3" spans="1:71" hidden="1">
      <c r="A3" s="39" t="s">
        <v>52</v>
      </c>
      <c r="B3" s="39">
        <v>64</v>
      </c>
      <c r="C3" s="39" t="s">
        <v>54</v>
      </c>
      <c r="D3" s="39" t="s">
        <v>709</v>
      </c>
      <c r="E3" s="45"/>
      <c r="F3" s="46"/>
      <c r="G3" s="47">
        <f>SUM(Tabela1[[#This Row],[Quantidade]]+E3-F3+BS3-AM3)</f>
        <v>64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5">
        <f>SUM('DEZEMBRO-25'!$H3:$AL3)</f>
        <v>0</v>
      </c>
      <c r="AN3" s="67"/>
      <c r="AO3" s="67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7">
        <f>SUM(AN3:BR3)</f>
        <v>0</v>
      </c>
    </row>
    <row r="4" spans="1:71" hidden="1">
      <c r="A4" s="39" t="s">
        <v>710</v>
      </c>
      <c r="B4" s="39">
        <v>60</v>
      </c>
      <c r="C4" s="39" t="s">
        <v>54</v>
      </c>
      <c r="D4" s="39" t="s">
        <v>709</v>
      </c>
      <c r="E4" s="42"/>
      <c r="F4" s="43"/>
      <c r="G4" s="44">
        <f>SUM(Tabela1[[#This Row],[Quantidade]]+E4-F4+BS4-AM4)</f>
        <v>60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50">
        <f>SUM('DEZEMBRO-25'!$H4:$AL4)</f>
        <v>0</v>
      </c>
      <c r="AN4" s="68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2">
        <f t="shared" ref="BS4:BS67" si="0">SUM(AN4:BR4)</f>
        <v>0</v>
      </c>
    </row>
    <row r="5" spans="1:71" hidden="1">
      <c r="A5" s="39" t="s">
        <v>711</v>
      </c>
      <c r="B5" s="39">
        <v>60</v>
      </c>
      <c r="C5" s="39" t="s">
        <v>54</v>
      </c>
      <c r="D5" s="39" t="s">
        <v>709</v>
      </c>
      <c r="E5" s="42"/>
      <c r="F5" s="43"/>
      <c r="G5" s="44">
        <f>SUM(Tabela1[[#This Row],[Quantidade]]+E5-F5+BS5-AM5)</f>
        <v>60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50">
        <f>SUM('DEZEMBRO-25'!$H5:$AL5)</f>
        <v>0</v>
      </c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2">
        <f t="shared" si="0"/>
        <v>0</v>
      </c>
    </row>
    <row r="6" spans="1:71" hidden="1">
      <c r="A6" s="39" t="s">
        <v>712</v>
      </c>
      <c r="B6" s="39">
        <v>71</v>
      </c>
      <c r="C6" s="39" t="s">
        <v>54</v>
      </c>
      <c r="D6" s="39" t="s">
        <v>709</v>
      </c>
      <c r="E6" s="42"/>
      <c r="F6" s="43"/>
      <c r="G6" s="44">
        <f>SUM(Tabela1[[#This Row],[Quantidade]]+E6-F6+BS6-AM6)</f>
        <v>71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50">
        <f>SUM('DEZEMBRO-25'!$H6:$AL6)</f>
        <v>0</v>
      </c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2">
        <f t="shared" si="0"/>
        <v>0</v>
      </c>
    </row>
    <row r="7" spans="1:71" hidden="1">
      <c r="A7" s="39" t="s">
        <v>713</v>
      </c>
      <c r="B7" s="39">
        <v>20</v>
      </c>
      <c r="C7" s="39" t="s">
        <v>54</v>
      </c>
      <c r="D7" s="39" t="s">
        <v>709</v>
      </c>
      <c r="E7" s="42"/>
      <c r="F7" s="43"/>
      <c r="G7" s="44">
        <f>SUM(Tabela1[[#This Row],[Quantidade]]+E7-F7+BS7-AM7)</f>
        <v>20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50">
        <f>SUM('DEZEMBRO-25'!$H7:$AL7)</f>
        <v>0</v>
      </c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9"/>
      <c r="BR7" s="51"/>
      <c r="BS7" s="52">
        <f t="shared" si="0"/>
        <v>0</v>
      </c>
    </row>
    <row r="8" spans="1:71" hidden="1">
      <c r="A8" s="39" t="s">
        <v>714</v>
      </c>
      <c r="B8" s="39" t="s">
        <v>715</v>
      </c>
      <c r="C8" s="39" t="s">
        <v>715</v>
      </c>
      <c r="D8" s="39" t="s">
        <v>715</v>
      </c>
      <c r="E8" s="42"/>
      <c r="F8" s="43"/>
      <c r="G8" s="44" t="e">
        <f>SUM(Tabela1[[#This Row],[Quantidade]]+E8-F8+BS8-AM8)</f>
        <v>#VALUE!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50">
        <f>SUM('DEZEMBRO-25'!$H8:$AL8)</f>
        <v>0</v>
      </c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2">
        <f t="shared" si="0"/>
        <v>0</v>
      </c>
    </row>
    <row r="9" spans="1:71" hidden="1">
      <c r="A9" s="39" t="s">
        <v>716</v>
      </c>
      <c r="B9" s="39">
        <v>125</v>
      </c>
      <c r="C9" s="39" t="s">
        <v>43</v>
      </c>
      <c r="D9" s="39" t="s">
        <v>717</v>
      </c>
      <c r="E9" s="42"/>
      <c r="F9" s="43"/>
      <c r="G9" s="44">
        <f>SUM(Tabela1[[#This Row],[Quantidade]]+E9-F9+BS9-AM9)</f>
        <v>125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50">
        <f>SUM('DEZEMBRO-25'!$H9:$AL9)</f>
        <v>0</v>
      </c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2">
        <f t="shared" si="0"/>
        <v>0</v>
      </c>
    </row>
    <row r="10" spans="1:71" hidden="1">
      <c r="A10" s="39" t="s">
        <v>718</v>
      </c>
      <c r="B10" s="39">
        <v>0</v>
      </c>
      <c r="C10" s="39">
        <v>0</v>
      </c>
      <c r="D10" s="39">
        <v>0</v>
      </c>
      <c r="E10" s="42"/>
      <c r="F10" s="43"/>
      <c r="G10" s="44">
        <f>SUM(Tabela1[[#This Row],[Quantidade]]+E10-F10+BS10-AM10)</f>
        <v>0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0">
        <f>SUM('DEZEMBRO-25'!$H10:$AL10)</f>
        <v>0</v>
      </c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2">
        <f t="shared" si="0"/>
        <v>0</v>
      </c>
    </row>
    <row r="11" spans="1:71" hidden="1">
      <c r="A11" s="39" t="s">
        <v>719</v>
      </c>
      <c r="B11" s="39">
        <v>100</v>
      </c>
      <c r="C11" s="39" t="s">
        <v>43</v>
      </c>
      <c r="D11" s="39" t="s">
        <v>720</v>
      </c>
      <c r="E11" s="42"/>
      <c r="F11" s="43"/>
      <c r="G11" s="44">
        <f>SUM(Tabela1[[#This Row],[Quantidade]]+E11-F11+BS11-AM11)</f>
        <v>100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50">
        <f>SUM('DEZEMBRO-25'!$H11:$AL11)</f>
        <v>0</v>
      </c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2">
        <f t="shared" si="0"/>
        <v>0</v>
      </c>
    </row>
    <row r="12" spans="1:71" hidden="1">
      <c r="A12" s="39" t="s">
        <v>71</v>
      </c>
      <c r="B12" s="39">
        <v>100</v>
      </c>
      <c r="C12" s="39" t="s">
        <v>43</v>
      </c>
      <c r="D12" s="39" t="s">
        <v>721</v>
      </c>
      <c r="E12" s="42"/>
      <c r="F12" s="43"/>
      <c r="G12" s="44">
        <f>SUM(Tabela1[[#This Row],[Quantidade]]+E12-F12+BS12-AM12)</f>
        <v>100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50">
        <f>SUM('DEZEMBRO-25'!$H12:$AL12)</f>
        <v>0</v>
      </c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2">
        <f t="shared" si="0"/>
        <v>0</v>
      </c>
    </row>
    <row r="13" spans="1:71" hidden="1">
      <c r="A13" s="39" t="s">
        <v>72</v>
      </c>
      <c r="B13" s="39">
        <v>0</v>
      </c>
      <c r="C13" s="39">
        <v>0</v>
      </c>
      <c r="D13" s="39">
        <v>0</v>
      </c>
      <c r="E13" s="42"/>
      <c r="F13" s="43"/>
      <c r="G13" s="44">
        <f>SUM(Tabela1[[#This Row],[Quantidade]]+E13-F13+BS13-AM13)</f>
        <v>0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50">
        <f>SUM('DEZEMBRO-25'!$H13:$AL13)</f>
        <v>0</v>
      </c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2">
        <f t="shared" si="0"/>
        <v>0</v>
      </c>
    </row>
    <row r="14" spans="1:71" hidden="1">
      <c r="A14" s="39" t="s">
        <v>722</v>
      </c>
      <c r="B14" s="39" t="s">
        <v>723</v>
      </c>
      <c r="C14" s="39" t="s">
        <v>723</v>
      </c>
      <c r="D14" s="39" t="s">
        <v>723</v>
      </c>
      <c r="E14" s="42"/>
      <c r="F14" s="43"/>
      <c r="G14" s="44" t="e">
        <f>SUM(Tabela1[[#This Row],[Quantidade]]+E14-F14+BS14-AM14)</f>
        <v>#VALUE!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50">
        <f>SUM('DEZEMBRO-25'!$H14:$AL14)</f>
        <v>0</v>
      </c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2">
        <f t="shared" si="0"/>
        <v>0</v>
      </c>
    </row>
    <row r="15" spans="1:71" hidden="1">
      <c r="A15" s="39" t="s">
        <v>724</v>
      </c>
      <c r="B15" s="39">
        <v>90</v>
      </c>
      <c r="C15" s="39" t="s">
        <v>82</v>
      </c>
      <c r="D15" s="39" t="s">
        <v>725</v>
      </c>
      <c r="E15" s="42"/>
      <c r="F15" s="43"/>
      <c r="G15" s="44">
        <f>SUM(Tabela1[[#This Row],[Quantidade]]+E15-F15+BS15-AM15)</f>
        <v>90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0">
        <f>SUM('DEZEMBRO-25'!$H15:$AL15)</f>
        <v>0</v>
      </c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2">
        <f t="shared" si="0"/>
        <v>0</v>
      </c>
    </row>
    <row r="16" spans="1:71" hidden="1">
      <c r="A16" s="39" t="s">
        <v>726</v>
      </c>
      <c r="B16" s="39">
        <v>69</v>
      </c>
      <c r="C16" s="39" t="s">
        <v>82</v>
      </c>
      <c r="D16" s="39" t="s">
        <v>725</v>
      </c>
      <c r="E16" s="42"/>
      <c r="F16" s="43"/>
      <c r="G16" s="44">
        <f>SUM(Tabela1[[#This Row],[Quantidade]]+E16-F16+BS16-AM16)</f>
        <v>69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50">
        <f>SUM('DEZEMBRO-25'!$H16:$AL16)</f>
        <v>0</v>
      </c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2">
        <f t="shared" si="0"/>
        <v>0</v>
      </c>
    </row>
    <row r="17" spans="1:71" hidden="1">
      <c r="A17" s="39" t="s">
        <v>727</v>
      </c>
      <c r="B17" s="39">
        <v>34</v>
      </c>
      <c r="C17" s="39" t="s">
        <v>82</v>
      </c>
      <c r="D17" s="39" t="s">
        <v>725</v>
      </c>
      <c r="E17" s="42"/>
      <c r="F17" s="43"/>
      <c r="G17" s="44">
        <f>SUM(Tabela1[[#This Row],[Quantidade]]+E17-F17+BS17-AM17)</f>
        <v>34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50">
        <f>SUM('DEZEMBRO-25'!$H17:$AL17)</f>
        <v>0</v>
      </c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2">
        <f t="shared" si="0"/>
        <v>0</v>
      </c>
    </row>
    <row r="18" spans="1:71" hidden="1">
      <c r="A18" s="39" t="s">
        <v>79</v>
      </c>
      <c r="B18" s="39">
        <v>0</v>
      </c>
      <c r="C18" s="39">
        <v>0</v>
      </c>
      <c r="D18" s="39" t="s">
        <v>720</v>
      </c>
      <c r="E18" s="42"/>
      <c r="F18" s="43"/>
      <c r="G18" s="44">
        <f>SUM(Tabela1[[#This Row],[Quantidade]]+E18-F18+BS18-AM18)</f>
        <v>0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50">
        <f>SUM('DEZEMBRO-25'!$H18:$AL18)</f>
        <v>0</v>
      </c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2">
        <f t="shared" si="0"/>
        <v>0</v>
      </c>
    </row>
    <row r="19" spans="1:71" hidden="1">
      <c r="A19" s="39" t="s">
        <v>80</v>
      </c>
      <c r="B19" s="39">
        <v>0</v>
      </c>
      <c r="C19" s="39">
        <v>0</v>
      </c>
      <c r="D19" s="39" t="s">
        <v>720</v>
      </c>
      <c r="E19" s="42"/>
      <c r="F19" s="43"/>
      <c r="G19" s="44">
        <f>SUM(Tabela1[[#This Row],[Quantidade]]+E19-F19+BS19-AM19)</f>
        <v>0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50">
        <f>SUM('DEZEMBRO-25'!$H19:$AL19)</f>
        <v>0</v>
      </c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2">
        <f t="shared" si="0"/>
        <v>0</v>
      </c>
    </row>
    <row r="20" spans="1:71" hidden="1">
      <c r="A20" s="39" t="s">
        <v>81</v>
      </c>
      <c r="B20" s="39">
        <v>0</v>
      </c>
      <c r="C20" s="39">
        <v>0</v>
      </c>
      <c r="D20" s="39" t="s">
        <v>720</v>
      </c>
      <c r="E20" s="42"/>
      <c r="F20" s="43"/>
      <c r="G20" s="44">
        <f>SUM(Tabela1[[#This Row],[Quantidade]]+E20-F20+BS20-AM20)</f>
        <v>0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50">
        <f>SUM('DEZEMBRO-25'!$H20:$AL20)</f>
        <v>0</v>
      </c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2">
        <f t="shared" si="0"/>
        <v>0</v>
      </c>
    </row>
    <row r="21" spans="1:71" hidden="1">
      <c r="A21" s="39" t="s">
        <v>728</v>
      </c>
      <c r="B21" s="39">
        <v>5</v>
      </c>
      <c r="C21" s="39" t="s">
        <v>43</v>
      </c>
      <c r="D21" s="39" t="s">
        <v>729</v>
      </c>
      <c r="E21" s="42"/>
      <c r="F21" s="43"/>
      <c r="G21" s="44">
        <f>SUM(Tabela1[[#This Row],[Quantidade]]+E21-F21+BS21-AM21)</f>
        <v>5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50">
        <f>SUM('DEZEMBRO-25'!$H21:$AL21)</f>
        <v>0</v>
      </c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2">
        <f t="shared" si="0"/>
        <v>0</v>
      </c>
    </row>
    <row r="22" spans="1:71" hidden="1">
      <c r="A22" s="39" t="s">
        <v>123</v>
      </c>
      <c r="B22" s="39">
        <v>0</v>
      </c>
      <c r="C22" s="39" t="s">
        <v>43</v>
      </c>
      <c r="D22" s="39" t="s">
        <v>730</v>
      </c>
      <c r="E22" s="42"/>
      <c r="F22" s="43"/>
      <c r="G22" s="44">
        <f>SUM(Tabela1[[#This Row],[Quantidade]]+E22-F22+BS22-AM22)</f>
        <v>0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50">
        <f>SUM('DEZEMBRO-25'!$H22:$AL22)</f>
        <v>0</v>
      </c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2">
        <f t="shared" si="0"/>
        <v>0</v>
      </c>
    </row>
    <row r="23" spans="1:71" hidden="1">
      <c r="A23" s="39" t="s">
        <v>124</v>
      </c>
      <c r="B23" s="39">
        <v>5</v>
      </c>
      <c r="C23" s="39" t="s">
        <v>43</v>
      </c>
      <c r="D23" s="39" t="s">
        <v>729</v>
      </c>
      <c r="E23" s="42"/>
      <c r="F23" s="43"/>
      <c r="G23" s="44">
        <f>SUM(Tabela1[[#This Row],[Quantidade]]+E23-F23+BS23-AM23)</f>
        <v>5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50">
        <f>SUM('DEZEMBRO-25'!$H23:$AL23)</f>
        <v>0</v>
      </c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2">
        <f t="shared" si="0"/>
        <v>0</v>
      </c>
    </row>
    <row r="24" spans="1:71" hidden="1">
      <c r="A24" s="39" t="s">
        <v>731</v>
      </c>
      <c r="B24" s="39">
        <v>90</v>
      </c>
      <c r="C24" s="39" t="s">
        <v>43</v>
      </c>
      <c r="D24" s="39" t="s">
        <v>732</v>
      </c>
      <c r="E24" s="42"/>
      <c r="F24" s="43"/>
      <c r="G24" s="44">
        <f>SUM(Tabela1[[#This Row],[Quantidade]]+E24-F24+BS24-AM24)</f>
        <v>90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50">
        <f>SUM('DEZEMBRO-25'!$H24:$AL24)</f>
        <v>0</v>
      </c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2">
        <f t="shared" si="0"/>
        <v>0</v>
      </c>
    </row>
    <row r="25" spans="1:71" hidden="1">
      <c r="A25" s="39" t="s">
        <v>148</v>
      </c>
      <c r="B25" s="39">
        <v>10</v>
      </c>
      <c r="C25" s="39" t="s">
        <v>43</v>
      </c>
      <c r="D25" s="39" t="s">
        <v>733</v>
      </c>
      <c r="E25" s="42"/>
      <c r="F25" s="43"/>
      <c r="G25" s="44">
        <f>SUM(Tabela1[[#This Row],[Quantidade]]+E25-F25+BS25-AM25)</f>
        <v>10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50">
        <f>SUM('DEZEMBRO-25'!$H25:$AL25)</f>
        <v>0</v>
      </c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2">
        <f t="shared" si="0"/>
        <v>0</v>
      </c>
    </row>
    <row r="26" spans="1:71" hidden="1">
      <c r="A26" s="39" t="s">
        <v>153</v>
      </c>
      <c r="B26" s="39">
        <v>0</v>
      </c>
      <c r="C26" s="39">
        <v>0</v>
      </c>
      <c r="D26" s="39">
        <v>0</v>
      </c>
      <c r="E26" s="42"/>
      <c r="F26" s="43"/>
      <c r="G26" s="44">
        <f>SUM(Tabela1[[#This Row],[Quantidade]]+E26-F26+BS26-AM26)</f>
        <v>0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50">
        <f>SUM('DEZEMBRO-25'!$H26:$AL26)</f>
        <v>0</v>
      </c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2">
        <f t="shared" si="0"/>
        <v>0</v>
      </c>
    </row>
    <row r="27" spans="1:71" hidden="1">
      <c r="A27" s="39" t="s">
        <v>154</v>
      </c>
      <c r="B27" s="39">
        <v>0</v>
      </c>
      <c r="C27" s="39">
        <v>0</v>
      </c>
      <c r="D27" s="39">
        <v>0</v>
      </c>
      <c r="E27" s="42"/>
      <c r="F27" s="43"/>
      <c r="G27" s="44">
        <f>SUM(Tabela1[[#This Row],[Quantidade]]+E27-F27+BS27-AM27)</f>
        <v>0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50">
        <f>SUM('DEZEMBRO-25'!$H27:$AL27)</f>
        <v>0</v>
      </c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2">
        <f t="shared" si="0"/>
        <v>0</v>
      </c>
    </row>
    <row r="28" spans="1:71" hidden="1">
      <c r="A28" s="39" t="s">
        <v>734</v>
      </c>
      <c r="B28" s="39">
        <v>0</v>
      </c>
      <c r="C28" s="39">
        <v>0</v>
      </c>
      <c r="D28" s="39">
        <v>0</v>
      </c>
      <c r="E28" s="42"/>
      <c r="F28" s="43"/>
      <c r="G28" s="44">
        <f>SUM(Tabela1[[#This Row],[Quantidade]]+E28-F28+BS28-AM28)</f>
        <v>0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50">
        <f>SUM('DEZEMBRO-25'!$H28:$AL28)</f>
        <v>0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2">
        <f t="shared" si="0"/>
        <v>0</v>
      </c>
    </row>
    <row r="29" spans="1:71" hidden="1">
      <c r="A29" s="39" t="s">
        <v>735</v>
      </c>
      <c r="B29" s="39">
        <v>6</v>
      </c>
      <c r="C29" s="39" t="s">
        <v>54</v>
      </c>
      <c r="D29" s="39" t="s">
        <v>709</v>
      </c>
      <c r="E29" s="42"/>
      <c r="F29" s="43"/>
      <c r="G29" s="44">
        <f>SUM(Tabela1[[#This Row],[Quantidade]]+E29-F29+BS29-AM29)</f>
        <v>6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50">
        <f>SUM('DEZEMBRO-25'!$H29:$AL29)</f>
        <v>0</v>
      </c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2">
        <f t="shared" si="0"/>
        <v>0</v>
      </c>
    </row>
    <row r="30" spans="1:71" hidden="1">
      <c r="A30" s="39" t="s">
        <v>193</v>
      </c>
      <c r="B30" s="39">
        <v>27</v>
      </c>
      <c r="C30" s="39" t="s">
        <v>54</v>
      </c>
      <c r="D30" s="39" t="s">
        <v>709</v>
      </c>
      <c r="E30" s="42"/>
      <c r="F30" s="43"/>
      <c r="G30" s="44">
        <f>SUM(Tabela1[[#This Row],[Quantidade]]+E30-F30+BS30-AM30)</f>
        <v>27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50">
        <f>SUM('DEZEMBRO-25'!$H30:$AL30)</f>
        <v>0</v>
      </c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2">
        <f t="shared" si="0"/>
        <v>0</v>
      </c>
    </row>
    <row r="31" spans="1:71" hidden="1">
      <c r="A31" s="39" t="s">
        <v>195</v>
      </c>
      <c r="B31" s="39">
        <v>49</v>
      </c>
      <c r="C31" s="39" t="s">
        <v>54</v>
      </c>
      <c r="D31" s="39" t="s">
        <v>709</v>
      </c>
      <c r="E31" s="42"/>
      <c r="F31" s="43"/>
      <c r="G31" s="44">
        <f>SUM(Tabela1[[#This Row],[Quantidade]]+E31-F31+BS31-AM31)</f>
        <v>49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50">
        <f>SUM('DEZEMBRO-25'!$H31:$AL31)</f>
        <v>0</v>
      </c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2">
        <f t="shared" si="0"/>
        <v>0</v>
      </c>
    </row>
    <row r="32" spans="1:71" hidden="1">
      <c r="A32" s="39" t="s">
        <v>196</v>
      </c>
      <c r="B32" s="39">
        <v>12</v>
      </c>
      <c r="C32" s="39" t="s">
        <v>54</v>
      </c>
      <c r="D32" s="39" t="s">
        <v>709</v>
      </c>
      <c r="E32" s="42"/>
      <c r="F32" s="43"/>
      <c r="G32" s="44">
        <f>SUM(Tabela1[[#This Row],[Quantidade]]+E32-F32+BS32-AM32)</f>
        <v>12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50">
        <f>SUM('DEZEMBRO-25'!$H32:$AL32)</f>
        <v>0</v>
      </c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2">
        <f t="shared" si="0"/>
        <v>0</v>
      </c>
    </row>
    <row r="33" spans="1:71" hidden="1">
      <c r="A33" s="39" t="s">
        <v>736</v>
      </c>
      <c r="B33" s="39">
        <v>3</v>
      </c>
      <c r="C33" s="39" t="s">
        <v>54</v>
      </c>
      <c r="D33" s="39" t="s">
        <v>737</v>
      </c>
      <c r="E33" s="42"/>
      <c r="F33" s="43"/>
      <c r="G33" s="44">
        <f>SUM(Tabela1[[#This Row],[Quantidade]]+E33-F33+BS33-AM33)</f>
        <v>3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50">
        <f>SUM('DEZEMBRO-25'!$H33:$AL33)</f>
        <v>0</v>
      </c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2">
        <f t="shared" si="0"/>
        <v>0</v>
      </c>
    </row>
    <row r="34" spans="1:71" hidden="1">
      <c r="A34" s="39" t="s">
        <v>738</v>
      </c>
      <c r="B34" s="39">
        <v>7</v>
      </c>
      <c r="C34" s="39" t="s">
        <v>54</v>
      </c>
      <c r="D34" s="39" t="s">
        <v>737</v>
      </c>
      <c r="E34" s="42"/>
      <c r="F34" s="43"/>
      <c r="G34" s="44">
        <f>SUM(Tabela1[[#This Row],[Quantidade]]+E34-F34+BS34-AM34)</f>
        <v>7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50">
        <f>SUM('DEZEMBRO-25'!$H34:$AL34)</f>
        <v>0</v>
      </c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2">
        <f t="shared" si="0"/>
        <v>0</v>
      </c>
    </row>
    <row r="35" spans="1:71" hidden="1">
      <c r="A35" s="39" t="s">
        <v>207</v>
      </c>
      <c r="B35" s="39">
        <v>0</v>
      </c>
      <c r="C35" s="39">
        <v>0</v>
      </c>
      <c r="D35" s="39">
        <v>0</v>
      </c>
      <c r="E35" s="42"/>
      <c r="F35" s="43"/>
      <c r="G35" s="44">
        <f>SUM(Tabela1[[#This Row],[Quantidade]]+E35-F35+BS35-AM35)</f>
        <v>0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50">
        <f>SUM('DEZEMBRO-25'!$H35:$AL35)</f>
        <v>0</v>
      </c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2">
        <f t="shared" si="0"/>
        <v>0</v>
      </c>
    </row>
    <row r="36" spans="1:71" hidden="1">
      <c r="A36" s="39" t="s">
        <v>208</v>
      </c>
      <c r="B36" s="39">
        <v>0</v>
      </c>
      <c r="C36" s="39">
        <v>0</v>
      </c>
      <c r="D36" s="39">
        <v>0</v>
      </c>
      <c r="E36" s="42"/>
      <c r="F36" s="43"/>
      <c r="G36" s="44">
        <f>SUM(Tabela1[[#This Row],[Quantidade]]+E36-F36+BS36-AM36)</f>
        <v>0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50">
        <f>SUM('DEZEMBRO-25'!$H36:$AL36)</f>
        <v>0</v>
      </c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2">
        <f t="shared" si="0"/>
        <v>0</v>
      </c>
    </row>
    <row r="37" spans="1:71" hidden="1">
      <c r="A37" s="39" t="s">
        <v>739</v>
      </c>
      <c r="B37" s="39">
        <v>0</v>
      </c>
      <c r="C37" s="39">
        <v>0</v>
      </c>
      <c r="D37" s="39" t="s">
        <v>740</v>
      </c>
      <c r="E37" s="42"/>
      <c r="F37" s="43"/>
      <c r="G37" s="44">
        <f>SUM(Tabela1[[#This Row],[Quantidade]]+E37-F37+BS37-AM37)</f>
        <v>0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50">
        <f>SUM('DEZEMBRO-25'!$H37:$AL37)</f>
        <v>0</v>
      </c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2">
        <f t="shared" si="0"/>
        <v>0</v>
      </c>
    </row>
    <row r="38" spans="1:71" hidden="1">
      <c r="A38" s="39" t="s">
        <v>741</v>
      </c>
      <c r="B38" s="39" t="s">
        <v>715</v>
      </c>
      <c r="C38" s="39" t="s">
        <v>715</v>
      </c>
      <c r="D38" s="39" t="s">
        <v>715</v>
      </c>
      <c r="E38" s="42"/>
      <c r="F38" s="43"/>
      <c r="G38" s="44" t="e">
        <f>SUM(Tabela1[[#This Row],[Quantidade]]+E38-F38+BS38-AM38)</f>
        <v>#VALUE!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50">
        <f>SUM('DEZEMBRO-25'!$H38:$AL38)</f>
        <v>0</v>
      </c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2">
        <f t="shared" si="0"/>
        <v>0</v>
      </c>
    </row>
    <row r="39" spans="1:71" hidden="1">
      <c r="A39" s="39" t="s">
        <v>742</v>
      </c>
      <c r="B39" s="39">
        <v>450</v>
      </c>
      <c r="C39" s="39" t="s">
        <v>43</v>
      </c>
      <c r="D39" s="39" t="s">
        <v>730</v>
      </c>
      <c r="E39" s="42"/>
      <c r="F39" s="43"/>
      <c r="G39" s="44">
        <f>SUM(Tabela1[[#This Row],[Quantidade]]+E39-F39+BS39-AM39)</f>
        <v>450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50">
        <f>SUM('DEZEMBRO-25'!$H39:$AL39)</f>
        <v>0</v>
      </c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2">
        <f t="shared" si="0"/>
        <v>0</v>
      </c>
    </row>
    <row r="40" spans="1:71" hidden="1">
      <c r="A40" s="39" t="s">
        <v>226</v>
      </c>
      <c r="B40" s="39" t="s">
        <v>715</v>
      </c>
      <c r="C40" s="39" t="s">
        <v>715</v>
      </c>
      <c r="D40" s="39" t="s">
        <v>715</v>
      </c>
      <c r="E40" s="42"/>
      <c r="F40" s="43"/>
      <c r="G40" s="44" t="e">
        <f>SUM(Tabela1[[#This Row],[Quantidade]]+E40-F40+BS40-AM40)</f>
        <v>#VALUE!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50">
        <f>SUM('DEZEMBRO-25'!$H40:$AL40)</f>
        <v>0</v>
      </c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2">
        <f t="shared" si="0"/>
        <v>0</v>
      </c>
    </row>
    <row r="41" spans="1:71" hidden="1">
      <c r="A41" s="39" t="s">
        <v>228</v>
      </c>
      <c r="B41" s="39">
        <v>15</v>
      </c>
      <c r="C41" s="39" t="s">
        <v>43</v>
      </c>
      <c r="D41" s="39" t="s">
        <v>743</v>
      </c>
      <c r="E41" s="42"/>
      <c r="F41" s="43"/>
      <c r="G41" s="44">
        <f>SUM(Tabela1[[#This Row],[Quantidade]]+E41-F41+BS41-AM41)</f>
        <v>15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50">
        <f>SUM('DEZEMBRO-25'!$H41:$AL41)</f>
        <v>0</v>
      </c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2">
        <f t="shared" si="0"/>
        <v>0</v>
      </c>
    </row>
    <row r="42" spans="1:71" hidden="1">
      <c r="A42" s="39" t="s">
        <v>744</v>
      </c>
      <c r="B42" s="39">
        <v>270</v>
      </c>
      <c r="C42" s="39" t="s">
        <v>43</v>
      </c>
      <c r="D42" s="39" t="s">
        <v>745</v>
      </c>
      <c r="E42" s="42"/>
      <c r="F42" s="43"/>
      <c r="G42" s="44">
        <f>SUM(Tabela1[[#This Row],[Quantidade]]+E42-F42+BS42-AM42)</f>
        <v>270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50">
        <f>SUM('DEZEMBRO-25'!$H42:$AL42)</f>
        <v>0</v>
      </c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2">
        <f t="shared" si="0"/>
        <v>0</v>
      </c>
    </row>
    <row r="43" spans="1:71" hidden="1">
      <c r="A43" s="39" t="s">
        <v>236</v>
      </c>
      <c r="B43" s="39">
        <v>451</v>
      </c>
      <c r="C43" s="39" t="s">
        <v>43</v>
      </c>
      <c r="D43" s="39" t="s">
        <v>746</v>
      </c>
      <c r="E43" s="42"/>
      <c r="F43" s="43"/>
      <c r="G43" s="44">
        <f>SUM(Tabela1[[#This Row],[Quantidade]]+E43-F43+BS43-AM43)</f>
        <v>451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50">
        <f>SUM('DEZEMBRO-25'!$H43:$AL43)</f>
        <v>0</v>
      </c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2">
        <f t="shared" si="0"/>
        <v>0</v>
      </c>
    </row>
    <row r="44" spans="1:71" hidden="1">
      <c r="A44" s="39" t="s">
        <v>747</v>
      </c>
      <c r="B44" s="39" t="s">
        <v>715</v>
      </c>
      <c r="C44" s="39" t="s">
        <v>715</v>
      </c>
      <c r="D44" s="39" t="s">
        <v>715</v>
      </c>
      <c r="E44" s="42"/>
      <c r="F44" s="43"/>
      <c r="G44" s="44" t="e">
        <f>SUM(Tabela1[[#This Row],[Quantidade]]+E44-F44+BS44-AM44)</f>
        <v>#VALUE!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50">
        <f>SUM('DEZEMBRO-25'!$H44:$AL44)</f>
        <v>0</v>
      </c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2">
        <f t="shared" si="0"/>
        <v>0</v>
      </c>
    </row>
    <row r="45" spans="1:71" hidden="1">
      <c r="A45" s="39" t="s">
        <v>748</v>
      </c>
      <c r="B45" s="39">
        <v>20</v>
      </c>
      <c r="C45" s="39" t="s">
        <v>82</v>
      </c>
      <c r="D45" s="39" t="s">
        <v>749</v>
      </c>
      <c r="E45" s="42"/>
      <c r="F45" s="43"/>
      <c r="G45" s="44">
        <f>SUM(Tabela1[[#This Row],[Quantidade]]+E45-F45+BS45-AM45)</f>
        <v>20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50">
        <f>SUM('DEZEMBRO-25'!$H45:$AL45)</f>
        <v>0</v>
      </c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2">
        <f t="shared" si="0"/>
        <v>0</v>
      </c>
    </row>
    <row r="46" spans="1:71" hidden="1">
      <c r="A46" s="39" t="s">
        <v>750</v>
      </c>
      <c r="B46" s="39" t="s">
        <v>715</v>
      </c>
      <c r="C46" s="39" t="s">
        <v>715</v>
      </c>
      <c r="D46" s="39" t="s">
        <v>715</v>
      </c>
      <c r="E46" s="42"/>
      <c r="F46" s="43"/>
      <c r="G46" s="44" t="e">
        <f>SUM(Tabela1[[#This Row],[Quantidade]]+E46-F46+BS46-AM46)</f>
        <v>#VALUE!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50">
        <f>SUM('DEZEMBRO-25'!$H46:$AL46)</f>
        <v>0</v>
      </c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2">
        <f t="shared" si="0"/>
        <v>0</v>
      </c>
    </row>
    <row r="47" spans="1:71" hidden="1">
      <c r="A47" s="39" t="s">
        <v>751</v>
      </c>
      <c r="B47" s="39">
        <v>10</v>
      </c>
      <c r="C47" s="39" t="s">
        <v>82</v>
      </c>
      <c r="D47" s="39" t="s">
        <v>752</v>
      </c>
      <c r="E47" s="42"/>
      <c r="F47" s="43"/>
      <c r="G47" s="44">
        <f>SUM(Tabela1[[#This Row],[Quantidade]]+E47-F47+BS47-AM47)</f>
        <v>10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50">
        <f>SUM('DEZEMBRO-25'!$H47:$AL47)</f>
        <v>0</v>
      </c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2">
        <f t="shared" si="0"/>
        <v>0</v>
      </c>
    </row>
    <row r="48" spans="1:71" hidden="1">
      <c r="A48" s="39" t="s">
        <v>249</v>
      </c>
      <c r="B48" s="39">
        <v>1900</v>
      </c>
      <c r="C48" s="39" t="s">
        <v>43</v>
      </c>
      <c r="D48" s="39" t="s">
        <v>753</v>
      </c>
      <c r="E48" s="42"/>
      <c r="F48" s="43"/>
      <c r="G48" s="44">
        <f>SUM(Tabela1[[#This Row],[Quantidade]]+E48-F48+BS48-AM48)</f>
        <v>1900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50">
        <f>SUM('DEZEMBRO-25'!$H48:$AL48)</f>
        <v>0</v>
      </c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2">
        <f t="shared" si="0"/>
        <v>0</v>
      </c>
    </row>
    <row r="49" spans="1:71" hidden="1">
      <c r="A49" s="39" t="s">
        <v>754</v>
      </c>
      <c r="B49" s="39">
        <v>300</v>
      </c>
      <c r="C49" s="39" t="s">
        <v>43</v>
      </c>
      <c r="D49" s="39" t="s">
        <v>720</v>
      </c>
      <c r="E49" s="42"/>
      <c r="F49" s="43"/>
      <c r="G49" s="44">
        <f>SUM(Tabela1[[#This Row],[Quantidade]]+E49-F49+BS49-AM49)</f>
        <v>300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50">
        <f>SUM('DEZEMBRO-25'!$H49:$AL49)</f>
        <v>0</v>
      </c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2">
        <f t="shared" si="0"/>
        <v>0</v>
      </c>
    </row>
    <row r="50" spans="1:71" hidden="1">
      <c r="A50" s="39" t="s">
        <v>251</v>
      </c>
      <c r="B50" s="39">
        <v>245</v>
      </c>
      <c r="C50" s="39" t="s">
        <v>43</v>
      </c>
      <c r="D50" s="39" t="s">
        <v>755</v>
      </c>
      <c r="E50" s="42"/>
      <c r="F50" s="43"/>
      <c r="G50" s="44">
        <f>SUM(Tabela1[[#This Row],[Quantidade]]+E50-F50+BS50-AM50)</f>
        <v>245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50">
        <f>SUM('DEZEMBRO-25'!$H50:$AL50)</f>
        <v>0</v>
      </c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2">
        <f t="shared" si="0"/>
        <v>0</v>
      </c>
    </row>
    <row r="51" spans="1:71" hidden="1">
      <c r="A51" s="39" t="s">
        <v>756</v>
      </c>
      <c r="B51" s="39">
        <v>0</v>
      </c>
      <c r="C51" s="39">
        <v>0</v>
      </c>
      <c r="D51" s="39">
        <v>0</v>
      </c>
      <c r="E51" s="42"/>
      <c r="F51" s="43"/>
      <c r="G51" s="44">
        <f>SUM(Tabela1[[#This Row],[Quantidade]]+E51-F51+BS51-AM51)</f>
        <v>0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50">
        <f>SUM('DEZEMBRO-25'!$H51:$AL51)</f>
        <v>0</v>
      </c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2">
        <f t="shared" si="0"/>
        <v>0</v>
      </c>
    </row>
    <row r="52" spans="1:71" hidden="1">
      <c r="A52" s="39" t="s">
        <v>255</v>
      </c>
      <c r="B52" s="39">
        <v>0</v>
      </c>
      <c r="C52" s="39">
        <v>0</v>
      </c>
      <c r="D52" s="39">
        <v>0</v>
      </c>
      <c r="E52" s="42"/>
      <c r="F52" s="43"/>
      <c r="G52" s="44">
        <f>SUM(Tabela1[[#This Row],[Quantidade]]+E52-F52+BS52-AM52)</f>
        <v>0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50">
        <f>SUM('DEZEMBRO-25'!$H52:$AL52)</f>
        <v>0</v>
      </c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2">
        <f t="shared" si="0"/>
        <v>0</v>
      </c>
    </row>
    <row r="53" spans="1:71" hidden="1">
      <c r="A53" s="39" t="s">
        <v>757</v>
      </c>
      <c r="B53" s="39">
        <v>221</v>
      </c>
      <c r="C53" s="39" t="s">
        <v>43</v>
      </c>
      <c r="D53" s="39" t="s">
        <v>725</v>
      </c>
      <c r="E53" s="42"/>
      <c r="F53" s="43"/>
      <c r="G53" s="44">
        <f>SUM(Tabela1[[#This Row],[Quantidade]]+E53-F53+BS53-AM53)</f>
        <v>221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50">
        <f>SUM('DEZEMBRO-25'!$H53:$AL53)</f>
        <v>0</v>
      </c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2">
        <f t="shared" si="0"/>
        <v>0</v>
      </c>
    </row>
    <row r="54" spans="1:71" hidden="1">
      <c r="A54" s="39" t="s">
        <v>758</v>
      </c>
      <c r="B54" s="39">
        <v>108</v>
      </c>
      <c r="C54" s="39" t="s">
        <v>43</v>
      </c>
      <c r="D54" s="39" t="s">
        <v>759</v>
      </c>
      <c r="E54" s="42"/>
      <c r="F54" s="43"/>
      <c r="G54" s="44">
        <f>SUM(Tabela1[[#This Row],[Quantidade]]+E54-F54+BS54-AM54)</f>
        <v>108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50">
        <f>SUM('DEZEMBRO-25'!$H54:$AL54)</f>
        <v>0</v>
      </c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2">
        <f t="shared" si="0"/>
        <v>0</v>
      </c>
    </row>
    <row r="55" spans="1:71" hidden="1">
      <c r="A55" s="39" t="s">
        <v>760</v>
      </c>
      <c r="B55" s="39" t="s">
        <v>715</v>
      </c>
      <c r="C55" s="39" t="s">
        <v>715</v>
      </c>
      <c r="D55" s="39" t="s">
        <v>715</v>
      </c>
      <c r="E55" s="42"/>
      <c r="F55" s="43"/>
      <c r="G55" s="44" t="e">
        <f>SUM(Tabela1[[#This Row],[Quantidade]]+E55-F55+BS55-AM55)</f>
        <v>#VALUE!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50">
        <f>SUM('DEZEMBRO-25'!$H55:$AL55)</f>
        <v>0</v>
      </c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2">
        <f t="shared" si="0"/>
        <v>0</v>
      </c>
    </row>
    <row r="56" spans="1:71" hidden="1">
      <c r="A56" s="39" t="s">
        <v>266</v>
      </c>
      <c r="B56" s="39">
        <v>28</v>
      </c>
      <c r="C56" s="39" t="s">
        <v>43</v>
      </c>
      <c r="D56" s="39" t="s">
        <v>721</v>
      </c>
      <c r="E56" s="42"/>
      <c r="F56" s="43"/>
      <c r="G56" s="44">
        <f>SUM(Tabela1[[#This Row],[Quantidade]]+E56-F56+BS56-AM56)</f>
        <v>28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50">
        <f>SUM('DEZEMBRO-25'!$H56:$AL56)</f>
        <v>0</v>
      </c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2">
        <f t="shared" si="0"/>
        <v>0</v>
      </c>
    </row>
    <row r="57" spans="1:71" hidden="1">
      <c r="A57" s="39" t="s">
        <v>272</v>
      </c>
      <c r="B57" s="39" t="s">
        <v>761</v>
      </c>
      <c r="C57" s="39" t="s">
        <v>43</v>
      </c>
      <c r="D57" s="39" t="s">
        <v>721</v>
      </c>
      <c r="E57" s="42"/>
      <c r="F57" s="43"/>
      <c r="G57" s="44" t="e">
        <f>SUM(Tabela1[[#This Row],[Quantidade]]+E57-F57+BS57-AM57)</f>
        <v>#VALUE!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50">
        <f>SUM('DEZEMBRO-25'!$H57:$AL57)</f>
        <v>0</v>
      </c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2">
        <f t="shared" si="0"/>
        <v>0</v>
      </c>
    </row>
    <row r="58" spans="1:71" hidden="1">
      <c r="A58" s="39" t="s">
        <v>294</v>
      </c>
      <c r="B58" s="39">
        <v>324</v>
      </c>
      <c r="C58" s="39" t="s">
        <v>43</v>
      </c>
      <c r="D58" s="39" t="s">
        <v>759</v>
      </c>
      <c r="E58" s="42"/>
      <c r="F58" s="43"/>
      <c r="G58" s="44">
        <f>SUM(Tabela1[[#This Row],[Quantidade]]+E58-F58+BS58-AM58)</f>
        <v>324</v>
      </c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50">
        <f>SUM('DEZEMBRO-25'!$H58:$AL58)</f>
        <v>0</v>
      </c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2">
        <f t="shared" si="0"/>
        <v>0</v>
      </c>
    </row>
    <row r="59" spans="1:71" hidden="1">
      <c r="A59" s="39" t="s">
        <v>762</v>
      </c>
      <c r="B59" s="39">
        <v>0</v>
      </c>
      <c r="C59" s="39" t="s">
        <v>43</v>
      </c>
      <c r="D59" s="39" t="s">
        <v>725</v>
      </c>
      <c r="E59" s="42"/>
      <c r="F59" s="43"/>
      <c r="G59" s="44">
        <f>SUM(Tabela1[[#This Row],[Quantidade]]+E59-F59+BS59-AM59)</f>
        <v>0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50">
        <f>SUM('DEZEMBRO-25'!$H59:$AL59)</f>
        <v>0</v>
      </c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2">
        <f t="shared" si="0"/>
        <v>0</v>
      </c>
    </row>
    <row r="60" spans="1:71" hidden="1">
      <c r="A60" s="39" t="s">
        <v>763</v>
      </c>
      <c r="B60" s="39">
        <v>0</v>
      </c>
      <c r="C60" s="39">
        <v>0</v>
      </c>
      <c r="D60" s="39" t="s">
        <v>764</v>
      </c>
      <c r="E60" s="42"/>
      <c r="F60" s="43"/>
      <c r="G60" s="44">
        <f>SUM(Tabela1[[#This Row],[Quantidade]]+E60-F60+BS60-AM60)</f>
        <v>0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50">
        <f>SUM('DEZEMBRO-25'!$H60:$AL60)</f>
        <v>0</v>
      </c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2">
        <f t="shared" si="0"/>
        <v>0</v>
      </c>
    </row>
    <row r="61" spans="1:71" hidden="1">
      <c r="A61" s="39" t="s">
        <v>298</v>
      </c>
      <c r="B61" s="39">
        <v>0</v>
      </c>
      <c r="C61" s="39">
        <v>0</v>
      </c>
      <c r="D61" s="39">
        <v>0</v>
      </c>
      <c r="E61" s="42"/>
      <c r="F61" s="43"/>
      <c r="G61" s="44">
        <f>SUM(Tabela1[[#This Row],[Quantidade]]+E61-F61+BS61-AM61)</f>
        <v>0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50">
        <f>SUM('DEZEMBRO-25'!$H61:$AL61)</f>
        <v>0</v>
      </c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2">
        <f t="shared" si="0"/>
        <v>0</v>
      </c>
    </row>
    <row r="62" spans="1:71" hidden="1">
      <c r="A62" s="39" t="s">
        <v>302</v>
      </c>
      <c r="B62" s="39">
        <v>0</v>
      </c>
      <c r="C62" s="39">
        <v>0</v>
      </c>
      <c r="D62" s="39">
        <v>0</v>
      </c>
      <c r="E62" s="42"/>
      <c r="F62" s="43"/>
      <c r="G62" s="44">
        <f>SUM(Tabela1[[#This Row],[Quantidade]]+E62-F62+BS62-AM62)</f>
        <v>0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50">
        <f>SUM('DEZEMBRO-25'!$H62:$AL62)</f>
        <v>0</v>
      </c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2">
        <f t="shared" si="0"/>
        <v>0</v>
      </c>
    </row>
    <row r="63" spans="1:71" hidden="1">
      <c r="A63" s="39" t="s">
        <v>765</v>
      </c>
      <c r="B63" s="39">
        <v>0</v>
      </c>
      <c r="C63" s="39">
        <v>0</v>
      </c>
      <c r="D63" s="39">
        <v>0</v>
      </c>
      <c r="E63" s="42"/>
      <c r="F63" s="43"/>
      <c r="G63" s="44">
        <f>SUM(Tabela1[[#This Row],[Quantidade]]+E63-F63+BS63-AM63)</f>
        <v>0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50">
        <f>SUM('DEZEMBRO-25'!$H63:$AL63)</f>
        <v>0</v>
      </c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2">
        <f t="shared" si="0"/>
        <v>0</v>
      </c>
    </row>
    <row r="64" spans="1:71" hidden="1">
      <c r="A64" s="39" t="s">
        <v>307</v>
      </c>
      <c r="B64" s="39">
        <v>0</v>
      </c>
      <c r="C64" s="39">
        <v>0</v>
      </c>
      <c r="D64" s="39">
        <v>0</v>
      </c>
      <c r="E64" s="42"/>
      <c r="F64" s="43"/>
      <c r="G64" s="44">
        <f>SUM(Tabela1[[#This Row],[Quantidade]]+E64-F64+BS64-AM64)</f>
        <v>0</v>
      </c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50">
        <f>SUM('DEZEMBRO-25'!$H64:$AL64)</f>
        <v>0</v>
      </c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2">
        <f t="shared" si="0"/>
        <v>0</v>
      </c>
    </row>
    <row r="65" spans="1:71" hidden="1">
      <c r="A65" s="39" t="s">
        <v>329</v>
      </c>
      <c r="B65" s="39">
        <v>0</v>
      </c>
      <c r="C65" s="39">
        <v>0</v>
      </c>
      <c r="D65" s="39">
        <v>0</v>
      </c>
      <c r="E65" s="42"/>
      <c r="F65" s="43"/>
      <c r="G65" s="44">
        <f>SUM(Tabela1[[#This Row],[Quantidade]]+E65-F65+BS65-AM65)</f>
        <v>0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50">
        <f>SUM('DEZEMBRO-25'!$H65:$AL65)</f>
        <v>0</v>
      </c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2">
        <f t="shared" si="0"/>
        <v>0</v>
      </c>
    </row>
    <row r="66" spans="1:71" hidden="1">
      <c r="A66" s="39" t="s">
        <v>330</v>
      </c>
      <c r="B66" s="39">
        <v>25</v>
      </c>
      <c r="C66" s="39" t="s">
        <v>54</v>
      </c>
      <c r="D66" s="39" t="s">
        <v>721</v>
      </c>
      <c r="E66" s="42"/>
      <c r="F66" s="43"/>
      <c r="G66" s="44">
        <f>SUM(Tabela1[[#This Row],[Quantidade]]+E66-F66+BS66-AM66)</f>
        <v>25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50">
        <f>SUM('DEZEMBRO-25'!$H66:$AL66)</f>
        <v>0</v>
      </c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2">
        <f t="shared" si="0"/>
        <v>0</v>
      </c>
    </row>
    <row r="67" spans="1:71" hidden="1">
      <c r="A67" s="39" t="s">
        <v>766</v>
      </c>
      <c r="B67" s="39">
        <v>0</v>
      </c>
      <c r="C67" s="39">
        <v>0</v>
      </c>
      <c r="D67" s="39">
        <v>0</v>
      </c>
      <c r="E67" s="42"/>
      <c r="F67" s="43"/>
      <c r="G67" s="44">
        <f>SUM(Tabela1[[#This Row],[Quantidade]]+E67-F67+BS67-AM67)</f>
        <v>0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50">
        <f>SUM('DEZEMBRO-25'!$H67:$AL67)</f>
        <v>0</v>
      </c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2">
        <f t="shared" si="0"/>
        <v>0</v>
      </c>
    </row>
    <row r="68" spans="1:71" hidden="1">
      <c r="A68" s="39" t="s">
        <v>345</v>
      </c>
      <c r="B68" s="39">
        <v>25</v>
      </c>
      <c r="C68" s="39" t="s">
        <v>43</v>
      </c>
      <c r="D68" s="39" t="s">
        <v>759</v>
      </c>
      <c r="E68" s="42"/>
      <c r="F68" s="43"/>
      <c r="G68" s="44">
        <f>SUM(Tabela1[[#This Row],[Quantidade]]+E68-F68+BS68-AM68)</f>
        <v>25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50">
        <f>SUM('DEZEMBRO-25'!$H68:$AL68)</f>
        <v>0</v>
      </c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2">
        <f t="shared" ref="BS68:BS118" si="1">SUM(AN68:BR68)</f>
        <v>0</v>
      </c>
    </row>
    <row r="69" spans="1:71" hidden="1">
      <c r="A69" s="39" t="s">
        <v>364</v>
      </c>
      <c r="B69" s="39">
        <v>0</v>
      </c>
      <c r="C69" s="39">
        <v>0</v>
      </c>
      <c r="D69" s="39">
        <v>0</v>
      </c>
      <c r="E69" s="42"/>
      <c r="F69" s="43"/>
      <c r="G69" s="44">
        <f>SUM(Tabela1[[#This Row],[Quantidade]]+E69-F69+BS69-AM69)</f>
        <v>0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50">
        <f>SUM('DEZEMBRO-25'!$H69:$AL69)</f>
        <v>0</v>
      </c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2">
        <f t="shared" si="1"/>
        <v>0</v>
      </c>
    </row>
    <row r="70" spans="1:71" hidden="1">
      <c r="A70" s="39" t="s">
        <v>767</v>
      </c>
      <c r="B70" s="39" t="s">
        <v>715</v>
      </c>
      <c r="C70" s="39" t="s">
        <v>715</v>
      </c>
      <c r="D70" s="39" t="s">
        <v>715</v>
      </c>
      <c r="E70" s="42"/>
      <c r="F70" s="43"/>
      <c r="G70" s="44" t="e">
        <f>SUM(Tabela1[[#This Row],[Quantidade]]+E70-F70+BS70-AM70)</f>
        <v>#VALUE!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50">
        <f>SUM('DEZEMBRO-25'!$H70:$AL70)</f>
        <v>0</v>
      </c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2">
        <f t="shared" si="1"/>
        <v>0</v>
      </c>
    </row>
    <row r="71" spans="1:71" hidden="1">
      <c r="A71" s="39" t="s">
        <v>768</v>
      </c>
      <c r="B71" s="39">
        <v>150</v>
      </c>
      <c r="C71" s="39" t="s">
        <v>43</v>
      </c>
      <c r="D71" s="39" t="s">
        <v>725</v>
      </c>
      <c r="E71" s="42"/>
      <c r="F71" s="43"/>
      <c r="G71" s="44">
        <f>SUM(Tabela1[[#This Row],[Quantidade]]+E71-F71+BS71-AM71)</f>
        <v>150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50">
        <f>SUM('DEZEMBRO-25'!$H71:$AL71)</f>
        <v>0</v>
      </c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2">
        <f t="shared" si="1"/>
        <v>0</v>
      </c>
    </row>
    <row r="72" spans="1:71" hidden="1">
      <c r="A72" s="39" t="s">
        <v>769</v>
      </c>
      <c r="B72" s="39" t="s">
        <v>715</v>
      </c>
      <c r="C72" s="39" t="s">
        <v>715</v>
      </c>
      <c r="D72" s="39" t="s">
        <v>715</v>
      </c>
      <c r="E72" s="42"/>
      <c r="F72" s="43"/>
      <c r="G72" s="44" t="e">
        <f>SUM(Tabela1[[#This Row],[Quantidade]]+E72-F72+BS72-AM72)</f>
        <v>#VALUE!</v>
      </c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50">
        <f>SUM('DEZEMBRO-25'!$H72:$AL72)</f>
        <v>0</v>
      </c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2">
        <f t="shared" si="1"/>
        <v>0</v>
      </c>
    </row>
    <row r="73" spans="1:71" hidden="1">
      <c r="A73" s="39" t="s">
        <v>770</v>
      </c>
      <c r="B73" s="39" t="s">
        <v>715</v>
      </c>
      <c r="C73" s="39" t="s">
        <v>715</v>
      </c>
      <c r="D73" s="39" t="s">
        <v>715</v>
      </c>
      <c r="E73" s="42"/>
      <c r="F73" s="43"/>
      <c r="G73" s="44" t="e">
        <f>SUM(Tabela1[[#This Row],[Quantidade]]+E73-F73+BS73-AM73)</f>
        <v>#VALUE!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50">
        <f>SUM('DEZEMBRO-25'!$H73:$AL73)</f>
        <v>0</v>
      </c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2">
        <f t="shared" si="1"/>
        <v>0</v>
      </c>
    </row>
    <row r="74" spans="1:71" hidden="1">
      <c r="A74" s="39" t="s">
        <v>770</v>
      </c>
      <c r="B74" s="39" t="s">
        <v>715</v>
      </c>
      <c r="C74" s="39" t="s">
        <v>715</v>
      </c>
      <c r="D74" s="39" t="s">
        <v>715</v>
      </c>
      <c r="E74" s="42"/>
      <c r="F74" s="43"/>
      <c r="G74" s="44" t="e">
        <f>SUM(Tabela1[[#This Row],[Quantidade]]+E74-F74+BS74-AM74)</f>
        <v>#VALUE!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50">
        <f>SUM('DEZEMBRO-25'!$H74:$AL74)</f>
        <v>0</v>
      </c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2">
        <f t="shared" si="1"/>
        <v>0</v>
      </c>
    </row>
    <row r="75" spans="1:71" hidden="1">
      <c r="A75" s="39" t="s">
        <v>771</v>
      </c>
      <c r="B75" s="39">
        <v>0</v>
      </c>
      <c r="C75" s="39">
        <v>0</v>
      </c>
      <c r="D75" s="39">
        <v>0</v>
      </c>
      <c r="E75" s="42"/>
      <c r="F75" s="43"/>
      <c r="G75" s="44">
        <f>SUM(Tabela1[[#This Row],[Quantidade]]+E75-F75+BS75-AM75)</f>
        <v>0</v>
      </c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50">
        <f>SUM('DEZEMBRO-25'!$H75:$AL75)</f>
        <v>0</v>
      </c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2">
        <f t="shared" si="1"/>
        <v>0</v>
      </c>
    </row>
    <row r="76" spans="1:71" hidden="1">
      <c r="A76" s="39" t="s">
        <v>393</v>
      </c>
      <c r="B76" s="39">
        <v>0</v>
      </c>
      <c r="C76" s="39">
        <v>0</v>
      </c>
      <c r="D76" s="39">
        <v>0</v>
      </c>
      <c r="E76" s="42"/>
      <c r="F76" s="43"/>
      <c r="G76" s="44">
        <f>SUM(Tabela1[[#This Row],[Quantidade]]+E76-F76+BS76-AM76)</f>
        <v>0</v>
      </c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50">
        <f>SUM('DEZEMBRO-25'!$H76:$AL76)</f>
        <v>0</v>
      </c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2">
        <f t="shared" si="1"/>
        <v>0</v>
      </c>
    </row>
    <row r="77" spans="1:71" hidden="1">
      <c r="A77" s="39" t="s">
        <v>772</v>
      </c>
      <c r="B77" s="39">
        <v>0</v>
      </c>
      <c r="C77" s="39">
        <v>0</v>
      </c>
      <c r="D77" s="39">
        <v>0</v>
      </c>
      <c r="E77" s="42"/>
      <c r="F77" s="43"/>
      <c r="G77" s="44">
        <f>SUM(Tabela1[[#This Row],[Quantidade]]+E77-F77+BS77-AM77)</f>
        <v>0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50">
        <f>SUM('DEZEMBRO-25'!$H77:$AL77)</f>
        <v>0</v>
      </c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2">
        <f t="shared" si="1"/>
        <v>0</v>
      </c>
    </row>
    <row r="78" spans="1:71" hidden="1">
      <c r="A78" s="39" t="s">
        <v>773</v>
      </c>
      <c r="B78" s="39">
        <v>0</v>
      </c>
      <c r="C78" s="39">
        <v>0</v>
      </c>
      <c r="D78" s="39">
        <v>0</v>
      </c>
      <c r="E78" s="42"/>
      <c r="F78" s="43"/>
      <c r="G78" s="44">
        <f>SUM(Tabela1[[#This Row],[Quantidade]]+E78-F78+BS78-AM78)</f>
        <v>0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50">
        <f>SUM('DEZEMBRO-25'!$H78:$AL78)</f>
        <v>0</v>
      </c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2">
        <f t="shared" si="1"/>
        <v>0</v>
      </c>
    </row>
    <row r="79" spans="1:71" hidden="1">
      <c r="A79" s="39" t="s">
        <v>774</v>
      </c>
      <c r="B79" s="39">
        <v>11</v>
      </c>
      <c r="C79" s="39" t="s">
        <v>43</v>
      </c>
      <c r="D79" s="39" t="s">
        <v>721</v>
      </c>
      <c r="E79" s="42"/>
      <c r="F79" s="43"/>
      <c r="G79" s="44">
        <f>SUM(Tabela1[[#This Row],[Quantidade]]+E79-F79+BS79-AM79)</f>
        <v>11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50">
        <f>SUM('DEZEMBRO-25'!$H79:$AL79)</f>
        <v>0</v>
      </c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2">
        <f t="shared" si="1"/>
        <v>0</v>
      </c>
    </row>
    <row r="80" spans="1:71" hidden="1">
      <c r="A80" s="39" t="s">
        <v>418</v>
      </c>
      <c r="B80" s="39">
        <v>0</v>
      </c>
      <c r="C80" s="39">
        <v>0</v>
      </c>
      <c r="D80" s="39">
        <v>0</v>
      </c>
      <c r="E80" s="42"/>
      <c r="F80" s="43"/>
      <c r="G80" s="44">
        <f>SUM(Tabela1[[#This Row],[Quantidade]]+E80-F80+BS80-AM80)</f>
        <v>0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50">
        <f>SUM('DEZEMBRO-25'!$H80:$AL80)</f>
        <v>0</v>
      </c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2">
        <f t="shared" si="1"/>
        <v>0</v>
      </c>
    </row>
    <row r="81" spans="1:71" hidden="1">
      <c r="A81" s="39" t="s">
        <v>419</v>
      </c>
      <c r="B81" s="39">
        <v>0</v>
      </c>
      <c r="C81" s="39"/>
      <c r="D81" s="39" t="s">
        <v>775</v>
      </c>
      <c r="E81" s="42"/>
      <c r="F81" s="43"/>
      <c r="G81" s="44">
        <f>SUM(Tabela1[[#This Row],[Quantidade]]+E81-F81+BS81-AM81)</f>
        <v>0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50">
        <f>SUM('DEZEMBRO-25'!$H81:$AL81)</f>
        <v>0</v>
      </c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2">
        <f t="shared" si="1"/>
        <v>0</v>
      </c>
    </row>
    <row r="82" spans="1:71" hidden="1">
      <c r="A82" s="39" t="s">
        <v>776</v>
      </c>
      <c r="B82" s="39">
        <v>0</v>
      </c>
      <c r="C82" s="39" t="s">
        <v>777</v>
      </c>
      <c r="D82" s="39" t="s">
        <v>777</v>
      </c>
      <c r="E82" s="42"/>
      <c r="F82" s="43"/>
      <c r="G82" s="44">
        <f>SUM(Tabela1[[#This Row],[Quantidade]]+E82-F82+BS82-AM82)</f>
        <v>0</v>
      </c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50">
        <f>SUM('DEZEMBRO-25'!$H82:$AL82)</f>
        <v>0</v>
      </c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2">
        <f t="shared" si="1"/>
        <v>0</v>
      </c>
    </row>
    <row r="83" spans="1:71" hidden="1">
      <c r="A83" s="39" t="s">
        <v>778</v>
      </c>
      <c r="B83" s="39">
        <v>0</v>
      </c>
      <c r="C83" s="39" t="s">
        <v>777</v>
      </c>
      <c r="D83" s="39" t="s">
        <v>777</v>
      </c>
      <c r="E83" s="42"/>
      <c r="F83" s="43"/>
      <c r="G83" s="44">
        <f>SUM(Tabela1[[#This Row],[Quantidade]]+E83-F83+BS83-AM83)</f>
        <v>0</v>
      </c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50">
        <f>SUM('DEZEMBRO-25'!$H83:$AL83)</f>
        <v>0</v>
      </c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2">
        <f t="shared" si="1"/>
        <v>0</v>
      </c>
    </row>
    <row r="84" spans="1:71" hidden="1">
      <c r="A84" s="39" t="s">
        <v>449</v>
      </c>
      <c r="B84" s="39">
        <v>0</v>
      </c>
      <c r="C84" s="39" t="s">
        <v>777</v>
      </c>
      <c r="D84" s="39" t="s">
        <v>777</v>
      </c>
      <c r="E84" s="42"/>
      <c r="F84" s="43"/>
      <c r="G84" s="44">
        <f>SUM(Tabela1[[#This Row],[Quantidade]]+E84-F84+BS84-AM84)</f>
        <v>0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50">
        <f>SUM('DEZEMBRO-25'!$H84:$AL84)</f>
        <v>0</v>
      </c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2">
        <f t="shared" si="1"/>
        <v>0</v>
      </c>
    </row>
    <row r="85" spans="1:71" hidden="1">
      <c r="A85" s="39" t="s">
        <v>452</v>
      </c>
      <c r="B85" s="39">
        <v>0</v>
      </c>
      <c r="C85" s="39" t="s">
        <v>777</v>
      </c>
      <c r="D85" s="39" t="s">
        <v>777</v>
      </c>
      <c r="E85" s="42"/>
      <c r="F85" s="43"/>
      <c r="G85" s="44">
        <f>SUM(Tabela1[[#This Row],[Quantidade]]+E85-F85+BS85-AM85)</f>
        <v>0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50">
        <f>SUM('DEZEMBRO-25'!$H85:$AL85)</f>
        <v>0</v>
      </c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2">
        <f t="shared" si="1"/>
        <v>0</v>
      </c>
    </row>
    <row r="86" spans="1:71" hidden="1">
      <c r="A86" s="39" t="s">
        <v>453</v>
      </c>
      <c r="B86" s="39">
        <v>0</v>
      </c>
      <c r="C86" s="39" t="s">
        <v>777</v>
      </c>
      <c r="D86" s="39" t="s">
        <v>777</v>
      </c>
      <c r="E86" s="42"/>
      <c r="F86" s="43"/>
      <c r="G86" s="44">
        <f>SUM(Tabela1[[#This Row],[Quantidade]]+E86-F86+BS86-AM86)</f>
        <v>0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50">
        <f>SUM('DEZEMBRO-25'!$H86:$AL86)</f>
        <v>0</v>
      </c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2">
        <f t="shared" si="1"/>
        <v>0</v>
      </c>
    </row>
    <row r="87" spans="1:71" hidden="1">
      <c r="A87" s="39" t="s">
        <v>779</v>
      </c>
      <c r="B87" s="39">
        <v>0</v>
      </c>
      <c r="C87" s="39" t="s">
        <v>777</v>
      </c>
      <c r="D87" s="39" t="s">
        <v>777</v>
      </c>
      <c r="E87" s="42"/>
      <c r="F87" s="43"/>
      <c r="G87" s="44">
        <f>SUM(Tabela1[[#This Row],[Quantidade]]+E87-F87+BS87-AM87)</f>
        <v>0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50">
        <f>SUM('DEZEMBRO-25'!$H87:$AL87)</f>
        <v>0</v>
      </c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2">
        <f t="shared" si="1"/>
        <v>0</v>
      </c>
    </row>
    <row r="88" spans="1:71" hidden="1">
      <c r="A88" s="39" t="s">
        <v>780</v>
      </c>
      <c r="B88" s="39" t="s">
        <v>715</v>
      </c>
      <c r="C88" s="39" t="s">
        <v>715</v>
      </c>
      <c r="D88" s="39" t="s">
        <v>715</v>
      </c>
      <c r="E88" s="42"/>
      <c r="F88" s="43"/>
      <c r="G88" s="44" t="e">
        <f>SUM(Tabela1[[#This Row],[Quantidade]]+E88-F88+BS88-AM88)</f>
        <v>#VALUE!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50">
        <f>SUM('DEZEMBRO-25'!$H88:$AL88)</f>
        <v>0</v>
      </c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2">
        <f t="shared" si="1"/>
        <v>0</v>
      </c>
    </row>
    <row r="89" spans="1:71" hidden="1">
      <c r="A89" s="39" t="s">
        <v>781</v>
      </c>
      <c r="B89" s="39">
        <v>51</v>
      </c>
      <c r="C89" s="39" t="s">
        <v>43</v>
      </c>
      <c r="D89" s="39" t="s">
        <v>759</v>
      </c>
      <c r="E89" s="42"/>
      <c r="F89" s="43"/>
      <c r="G89" s="44">
        <f>SUM(Tabela1[[#This Row],[Quantidade]]+E89-F89+BS89-AM89)</f>
        <v>51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50">
        <f>SUM('DEZEMBRO-25'!$H89:$AL89)</f>
        <v>0</v>
      </c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2">
        <f t="shared" si="1"/>
        <v>0</v>
      </c>
    </row>
    <row r="90" spans="1:71" hidden="1">
      <c r="A90" s="39" t="s">
        <v>782</v>
      </c>
      <c r="B90" s="39">
        <v>70</v>
      </c>
      <c r="C90" s="39" t="s">
        <v>82</v>
      </c>
      <c r="D90" s="39" t="s">
        <v>725</v>
      </c>
      <c r="E90" s="42"/>
      <c r="F90" s="43"/>
      <c r="G90" s="44">
        <f>SUM(Tabela1[[#This Row],[Quantidade]]+E90-F90+BS90-AM90)</f>
        <v>70</v>
      </c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50">
        <f>SUM('DEZEMBRO-25'!$H90:$AL90)</f>
        <v>0</v>
      </c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2">
        <f t="shared" si="1"/>
        <v>0</v>
      </c>
    </row>
    <row r="91" spans="1:71" hidden="1">
      <c r="A91" s="39" t="s">
        <v>484</v>
      </c>
      <c r="B91" s="39">
        <v>33</v>
      </c>
      <c r="C91" s="39" t="s">
        <v>54</v>
      </c>
      <c r="D91" s="39" t="s">
        <v>721</v>
      </c>
      <c r="E91" s="42"/>
      <c r="F91" s="43"/>
      <c r="G91" s="44">
        <f>SUM(Tabela1[[#This Row],[Quantidade]]+E91-F91+BS91-AM91)</f>
        <v>33</v>
      </c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50">
        <f>SUM('DEZEMBRO-25'!$H91:$AL91)</f>
        <v>0</v>
      </c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2">
        <f t="shared" si="1"/>
        <v>0</v>
      </c>
    </row>
    <row r="92" spans="1:71" hidden="1">
      <c r="A92" s="39" t="s">
        <v>493</v>
      </c>
      <c r="B92" s="39">
        <v>0</v>
      </c>
      <c r="C92" s="39">
        <v>0</v>
      </c>
      <c r="D92" s="39">
        <v>0</v>
      </c>
      <c r="E92" s="42"/>
      <c r="F92" s="43"/>
      <c r="G92" s="44">
        <f>SUM(Tabela1[[#This Row],[Quantidade]]+E92-F92+BS92-AM92)</f>
        <v>0</v>
      </c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50">
        <f>SUM('DEZEMBRO-25'!$H92:$AL92)</f>
        <v>0</v>
      </c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2">
        <f t="shared" si="1"/>
        <v>0</v>
      </c>
    </row>
    <row r="93" spans="1:71" hidden="1">
      <c r="A93" s="39" t="s">
        <v>783</v>
      </c>
      <c r="B93" s="39" t="s">
        <v>715</v>
      </c>
      <c r="C93" s="39" t="s">
        <v>715</v>
      </c>
      <c r="D93" s="39" t="s">
        <v>715</v>
      </c>
      <c r="E93" s="42"/>
      <c r="F93" s="43"/>
      <c r="G93" s="44" t="e">
        <f>SUM(Tabela1[[#This Row],[Quantidade]]+E93-F93+BS93-AM93)</f>
        <v>#VALUE!</v>
      </c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50">
        <f>SUM('DEZEMBRO-25'!$H93:$AL93)</f>
        <v>0</v>
      </c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2">
        <f t="shared" si="1"/>
        <v>0</v>
      </c>
    </row>
    <row r="94" spans="1:71" hidden="1">
      <c r="A94" s="39" t="s">
        <v>784</v>
      </c>
      <c r="B94" s="39" t="s">
        <v>764</v>
      </c>
      <c r="C94" s="39" t="s">
        <v>764</v>
      </c>
      <c r="D94" s="39" t="s">
        <v>764</v>
      </c>
      <c r="E94" s="42"/>
      <c r="F94" s="43"/>
      <c r="G94" s="44" t="e">
        <f>SUM(Tabela1[[#This Row],[Quantidade]]+E94-F94+BS94-AM94)</f>
        <v>#VALUE!</v>
      </c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50">
        <f>SUM('DEZEMBRO-25'!$H94:$AL94)</f>
        <v>0</v>
      </c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2">
        <f t="shared" si="1"/>
        <v>0</v>
      </c>
    </row>
    <row r="95" spans="1:71" hidden="1">
      <c r="A95" s="39" t="s">
        <v>785</v>
      </c>
      <c r="B95" s="39" t="s">
        <v>721</v>
      </c>
      <c r="C95" s="39" t="s">
        <v>721</v>
      </c>
      <c r="D95" s="39" t="s">
        <v>721</v>
      </c>
      <c r="E95" s="42"/>
      <c r="F95" s="43"/>
      <c r="G95" s="44" t="e">
        <f>SUM(Tabela1[[#This Row],[Quantidade]]+E95-F95+BS95-AM95)</f>
        <v>#VALUE!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50">
        <f>SUM('DEZEMBRO-25'!$H95:$AL95)</f>
        <v>0</v>
      </c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2">
        <f t="shared" si="1"/>
        <v>0</v>
      </c>
    </row>
    <row r="96" spans="1:71" hidden="1">
      <c r="A96" s="39" t="s">
        <v>539</v>
      </c>
      <c r="B96" s="39">
        <v>50</v>
      </c>
      <c r="C96" s="39" t="s">
        <v>43</v>
      </c>
      <c r="D96" s="39" t="s">
        <v>721</v>
      </c>
      <c r="E96" s="42"/>
      <c r="F96" s="43"/>
      <c r="G96" s="44">
        <f>SUM(Tabela1[[#This Row],[Quantidade]]+E96-F96+BS96-AM96)</f>
        <v>50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50">
        <f>SUM('DEZEMBRO-25'!$H96:$AL96)</f>
        <v>0</v>
      </c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2">
        <f t="shared" si="1"/>
        <v>0</v>
      </c>
    </row>
    <row r="97" spans="1:71" hidden="1">
      <c r="A97" s="39" t="s">
        <v>786</v>
      </c>
      <c r="B97" s="39" t="s">
        <v>787</v>
      </c>
      <c r="C97" s="39" t="s">
        <v>43</v>
      </c>
      <c r="D97" s="39" t="s">
        <v>725</v>
      </c>
      <c r="E97" s="42"/>
      <c r="F97" s="43"/>
      <c r="G97" s="44" t="e">
        <f>SUM(Tabela1[[#This Row],[Quantidade]]+E97-F97+BS97-AM97)</f>
        <v>#VALUE!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50">
        <f>SUM('DEZEMBRO-25'!$H97:$AL97)</f>
        <v>0</v>
      </c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2">
        <f t="shared" si="1"/>
        <v>0</v>
      </c>
    </row>
    <row r="98" spans="1:71" hidden="1">
      <c r="A98" s="39" t="s">
        <v>788</v>
      </c>
      <c r="B98" s="39">
        <v>0</v>
      </c>
      <c r="C98" s="39">
        <v>0</v>
      </c>
      <c r="D98" s="39" t="s">
        <v>720</v>
      </c>
      <c r="E98" s="42"/>
      <c r="F98" s="43"/>
      <c r="G98" s="44">
        <f>SUM(Tabela1[[#This Row],[Quantidade]]+E98-F98+BS98-AM98)</f>
        <v>0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50">
        <f>SUM('DEZEMBRO-25'!$H98:$AL98)</f>
        <v>0</v>
      </c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2">
        <f t="shared" si="1"/>
        <v>0</v>
      </c>
    </row>
    <row r="99" spans="1:71" hidden="1">
      <c r="A99" s="39" t="s">
        <v>789</v>
      </c>
      <c r="B99" s="39">
        <v>100</v>
      </c>
      <c r="C99" s="39" t="s">
        <v>43</v>
      </c>
      <c r="D99" s="39" t="s">
        <v>720</v>
      </c>
      <c r="E99" s="42"/>
      <c r="F99" s="43"/>
      <c r="G99" s="44">
        <f>SUM(Tabela1[[#This Row],[Quantidade]]+E99-F99+BS99-AM99)</f>
        <v>100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50">
        <f>SUM('DEZEMBRO-25'!$H99:$AL99)</f>
        <v>0</v>
      </c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2">
        <f t="shared" si="1"/>
        <v>0</v>
      </c>
    </row>
    <row r="100" spans="1:71">
      <c r="A100" s="39" t="s">
        <v>548</v>
      </c>
      <c r="B100" s="39">
        <v>1860</v>
      </c>
      <c r="C100" s="39" t="s">
        <v>43</v>
      </c>
      <c r="D100" s="39" t="s">
        <v>759</v>
      </c>
      <c r="E100" s="42"/>
      <c r="F100" s="43"/>
      <c r="G100" s="44">
        <f>SUM(Tabela1[[#This Row],[Quantidade]]+E100-F100+BS100-AM100)</f>
        <v>1860</v>
      </c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50">
        <f>SUM('DEZEMBRO-25'!$H100:$AL100)</f>
        <v>0</v>
      </c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2">
        <f t="shared" si="1"/>
        <v>0</v>
      </c>
    </row>
    <row r="101" spans="1:71">
      <c r="A101" s="39" t="s">
        <v>790</v>
      </c>
      <c r="B101" s="39">
        <v>3</v>
      </c>
      <c r="C101" s="39" t="s">
        <v>54</v>
      </c>
      <c r="D101" s="40" t="s">
        <v>791</v>
      </c>
      <c r="E101" s="42"/>
      <c r="F101" s="43"/>
      <c r="G101" s="44">
        <f>SUM(Tabela1[[#This Row],[Quantidade]]+E101-F101+BS101-AM101)</f>
        <v>3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50">
        <f>SUM('DEZEMBRO-25'!$H101:$AL101)</f>
        <v>0</v>
      </c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2">
        <f t="shared" si="1"/>
        <v>0</v>
      </c>
    </row>
    <row r="102" spans="1:71">
      <c r="A102" s="39" t="s">
        <v>550</v>
      </c>
      <c r="B102" s="39">
        <v>336</v>
      </c>
      <c r="C102" s="39" t="s">
        <v>43</v>
      </c>
      <c r="D102" s="39" t="s">
        <v>792</v>
      </c>
      <c r="E102" s="42"/>
      <c r="F102" s="43"/>
      <c r="G102" s="44">
        <f>SUM(Tabela1[[#This Row],[Quantidade]]+E102-F102+BS102-AM102)</f>
        <v>336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50">
        <f>SUM('DEZEMBRO-25'!$H102:$AL102)</f>
        <v>0</v>
      </c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2">
        <f t="shared" si="1"/>
        <v>0</v>
      </c>
    </row>
    <row r="103" spans="1:71">
      <c r="A103" s="39" t="s">
        <v>551</v>
      </c>
      <c r="B103" s="39">
        <v>0</v>
      </c>
      <c r="C103" s="39">
        <v>0</v>
      </c>
      <c r="D103" s="39">
        <v>0</v>
      </c>
      <c r="E103" s="42"/>
      <c r="F103" s="43"/>
      <c r="G103" s="44">
        <f>SUM(Tabela1[[#This Row],[Quantidade]]+E103-F103+BS103-AM103)</f>
        <v>0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50">
        <f>SUM('DEZEMBRO-25'!$H103:$AL103)</f>
        <v>0</v>
      </c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2">
        <f t="shared" si="1"/>
        <v>0</v>
      </c>
    </row>
    <row r="104" spans="1:71" hidden="1">
      <c r="A104" s="39" t="s">
        <v>793</v>
      </c>
      <c r="B104" s="39">
        <v>0</v>
      </c>
      <c r="C104" s="39">
        <v>0</v>
      </c>
      <c r="D104" s="39">
        <v>0</v>
      </c>
      <c r="E104" s="42"/>
      <c r="F104" s="43"/>
      <c r="G104" s="44">
        <f>SUM(Tabela1[[#This Row],[Quantidade]]+E104-F104+BS104-AM104)</f>
        <v>0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50">
        <f>SUM('DEZEMBRO-25'!$H104:$AL104)</f>
        <v>0</v>
      </c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2">
        <f t="shared" si="1"/>
        <v>0</v>
      </c>
    </row>
    <row r="105" spans="1:71" hidden="1">
      <c r="A105" s="39" t="s">
        <v>560</v>
      </c>
      <c r="B105" s="39">
        <v>0</v>
      </c>
      <c r="C105" s="39">
        <v>0</v>
      </c>
      <c r="D105" s="39">
        <v>0</v>
      </c>
      <c r="E105" s="42"/>
      <c r="F105" s="43"/>
      <c r="G105" s="44">
        <f>SUM(Tabela1[[#This Row],[Quantidade]]+E105-F105+BS105-AM105)</f>
        <v>0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50">
        <f>SUM('DEZEMBRO-25'!$H105:$AL105)</f>
        <v>0</v>
      </c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2">
        <f t="shared" si="1"/>
        <v>0</v>
      </c>
    </row>
    <row r="106" spans="1:71" hidden="1">
      <c r="A106" s="39" t="s">
        <v>561</v>
      </c>
      <c r="B106" s="39">
        <v>0</v>
      </c>
      <c r="C106" s="39">
        <v>0</v>
      </c>
      <c r="D106" s="39">
        <v>0</v>
      </c>
      <c r="E106" s="42"/>
      <c r="F106" s="43"/>
      <c r="G106" s="44">
        <f>SUM(Tabela1[[#This Row],[Quantidade]]+E106-F106+BS106-AM106)</f>
        <v>0</v>
      </c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50">
        <f>SUM('DEZEMBRO-25'!$H106:$AL106)</f>
        <v>0</v>
      </c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2">
        <f t="shared" si="1"/>
        <v>0</v>
      </c>
    </row>
    <row r="107" spans="1:71" hidden="1">
      <c r="A107" s="39" t="s">
        <v>564</v>
      </c>
      <c r="B107" s="39">
        <v>0</v>
      </c>
      <c r="C107" s="39">
        <v>0</v>
      </c>
      <c r="D107" s="39">
        <v>0</v>
      </c>
      <c r="E107" s="42"/>
      <c r="F107" s="43"/>
      <c r="G107" s="44">
        <f>SUM(Tabela1[[#This Row],[Quantidade]]+E107-F107+BS107-AM107)</f>
        <v>0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50">
        <f>SUM('DEZEMBRO-25'!$H107:$AL107)</f>
        <v>0</v>
      </c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2">
        <f t="shared" si="1"/>
        <v>0</v>
      </c>
    </row>
    <row r="108" spans="1:71" hidden="1">
      <c r="A108" s="39" t="s">
        <v>794</v>
      </c>
      <c r="B108" s="39">
        <v>74</v>
      </c>
      <c r="C108" s="39" t="s">
        <v>43</v>
      </c>
      <c r="D108" s="39" t="s">
        <v>721</v>
      </c>
      <c r="E108" s="42"/>
      <c r="F108" s="43"/>
      <c r="G108" s="44">
        <f>SUM(Tabela1[[#This Row],[Quantidade]]+E108-F108+BS108-AM108)</f>
        <v>74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50">
        <f>SUM('DEZEMBRO-25'!$H108:$AL108)</f>
        <v>0</v>
      </c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2">
        <f t="shared" si="1"/>
        <v>0</v>
      </c>
    </row>
    <row r="109" spans="1:71" hidden="1">
      <c r="A109" s="39" t="s">
        <v>576</v>
      </c>
      <c r="B109" s="39">
        <v>0</v>
      </c>
      <c r="C109" s="39">
        <v>0</v>
      </c>
      <c r="D109" s="39">
        <v>0</v>
      </c>
      <c r="E109" s="42"/>
      <c r="F109" s="43"/>
      <c r="G109" s="44">
        <f>SUM(Tabela1[[#This Row],[Quantidade]]+E109-F109+BS109-AM109)</f>
        <v>0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50">
        <f>SUM('DEZEMBRO-25'!$H109:$AL109)</f>
        <v>0</v>
      </c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2">
        <f t="shared" si="1"/>
        <v>0</v>
      </c>
    </row>
    <row r="110" spans="1:71" hidden="1">
      <c r="A110" s="39" t="s">
        <v>795</v>
      </c>
      <c r="B110" s="39">
        <v>12</v>
      </c>
      <c r="C110" s="39" t="s">
        <v>43</v>
      </c>
      <c r="D110" s="39" t="s">
        <v>796</v>
      </c>
      <c r="E110" s="42"/>
      <c r="F110" s="43"/>
      <c r="G110" s="44">
        <f>SUM(Tabela1[[#This Row],[Quantidade]]+E110-F110+BS110-AM110)</f>
        <v>12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50">
        <f>SUM('DEZEMBRO-25'!$H110:$AL110)</f>
        <v>0</v>
      </c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2">
        <f t="shared" si="1"/>
        <v>0</v>
      </c>
    </row>
    <row r="111" spans="1:71" hidden="1">
      <c r="A111" s="39" t="s">
        <v>594</v>
      </c>
      <c r="B111" s="39">
        <v>39</v>
      </c>
      <c r="C111" s="39" t="s">
        <v>43</v>
      </c>
      <c r="D111" s="39" t="s">
        <v>759</v>
      </c>
      <c r="E111" s="42"/>
      <c r="F111" s="43"/>
      <c r="G111" s="44">
        <f>SUM(Tabela1[[#This Row],[Quantidade]]+E111-F111+BS111-AM111)</f>
        <v>39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50">
        <f>SUM('DEZEMBRO-25'!$H111:$AL111)</f>
        <v>0</v>
      </c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2">
        <f t="shared" si="1"/>
        <v>0</v>
      </c>
    </row>
    <row r="112" spans="1:71">
      <c r="A112" s="39" t="s">
        <v>797</v>
      </c>
      <c r="B112" s="39">
        <v>432</v>
      </c>
      <c r="C112" s="39" t="s">
        <v>43</v>
      </c>
      <c r="D112" s="39" t="s">
        <v>764</v>
      </c>
      <c r="E112" s="42"/>
      <c r="F112" s="43"/>
      <c r="G112" s="44">
        <f>SUM(Tabela1[[#This Row],[Quantidade]]+E112-F112+BS112-AM112)</f>
        <v>437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50">
        <f>SUM(H112:AL112)</f>
        <v>0</v>
      </c>
      <c r="AN112" s="53"/>
      <c r="AO112" s="53"/>
      <c r="AP112" s="53"/>
      <c r="AQ112" s="53"/>
      <c r="AR112" s="53"/>
      <c r="AS112" s="53"/>
      <c r="AT112" s="53"/>
      <c r="AU112" s="53"/>
      <c r="AV112" s="53">
        <v>5</v>
      </c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2">
        <f t="shared" si="1"/>
        <v>5</v>
      </c>
    </row>
    <row r="113" spans="1:71" hidden="1" outlineLevel="1">
      <c r="A113" s="39" t="s">
        <v>798</v>
      </c>
      <c r="B113" s="39">
        <v>0</v>
      </c>
      <c r="C113" s="39"/>
      <c r="D113" s="39"/>
      <c r="E113" s="42"/>
      <c r="F113" s="43">
        <v>7</v>
      </c>
      <c r="G113" s="44">
        <f>SUM(Tabela1[[#This Row],[Quantidade]]+E113-F113+BS113-AM113)</f>
        <v>4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50">
        <f t="shared" ref="AM113:AM118" si="2">SUM(H113:AL113)</f>
        <v>0</v>
      </c>
      <c r="AN113" s="51"/>
      <c r="AO113" s="51"/>
      <c r="AP113" s="51"/>
      <c r="AQ113" s="51"/>
      <c r="AR113" s="51"/>
      <c r="AS113" s="51"/>
      <c r="AT113" s="51"/>
      <c r="AU113" s="51"/>
      <c r="AV113" s="51">
        <v>7</v>
      </c>
      <c r="AW113" s="51"/>
      <c r="AX113" s="51">
        <v>4</v>
      </c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2">
        <f t="shared" si="1"/>
        <v>11</v>
      </c>
    </row>
    <row r="114" spans="1:71" hidden="1" outlineLevel="1">
      <c r="A114" s="39" t="s">
        <v>799</v>
      </c>
      <c r="B114" s="39">
        <v>0</v>
      </c>
      <c r="C114" s="39"/>
      <c r="D114" s="39"/>
      <c r="E114" s="42"/>
      <c r="F114" s="43">
        <v>9</v>
      </c>
      <c r="G114" s="44">
        <f>SUM(Tabela1[[#This Row],[Quantidade]]+E114-F114+BS114-AM114)</f>
        <v>4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50">
        <f t="shared" si="2"/>
        <v>0</v>
      </c>
      <c r="AN114" s="53"/>
      <c r="AO114" s="53"/>
      <c r="AP114" s="53"/>
      <c r="AQ114" s="53"/>
      <c r="AR114" s="53"/>
      <c r="AS114" s="53"/>
      <c r="AT114" s="53"/>
      <c r="AU114" s="53"/>
      <c r="AV114" s="53">
        <v>2</v>
      </c>
      <c r="AW114" s="53">
        <v>11</v>
      </c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2">
        <f t="shared" si="1"/>
        <v>13</v>
      </c>
    </row>
    <row r="115" spans="1:71" hidden="1" outlineLevel="1">
      <c r="A115" s="39" t="s">
        <v>800</v>
      </c>
      <c r="B115" s="39">
        <v>0</v>
      </c>
      <c r="C115" s="39"/>
      <c r="D115" s="39"/>
      <c r="E115" s="42"/>
      <c r="F115" s="43">
        <v>6</v>
      </c>
      <c r="G115" s="44">
        <f>SUM(Tabela1[[#This Row],[Quantidade]]+E115-F115+BS115-AM115)</f>
        <v>0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50">
        <f t="shared" si="2"/>
        <v>0</v>
      </c>
      <c r="AN115" s="51"/>
      <c r="AO115" s="51"/>
      <c r="AP115" s="51"/>
      <c r="AQ115" s="51"/>
      <c r="AR115" s="51"/>
      <c r="AS115" s="51"/>
      <c r="AT115" s="51"/>
      <c r="AU115" s="51"/>
      <c r="AV115" s="51">
        <v>6</v>
      </c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2">
        <f t="shared" si="1"/>
        <v>6</v>
      </c>
    </row>
    <row r="116" spans="1:71" hidden="1" outlineLevel="1">
      <c r="A116" s="39" t="s">
        <v>801</v>
      </c>
      <c r="B116" s="39">
        <v>0</v>
      </c>
      <c r="C116" s="39"/>
      <c r="D116" s="39"/>
      <c r="E116" s="42"/>
      <c r="F116" s="43"/>
      <c r="G116" s="44">
        <f>SUM(Tabela1[[#This Row],[Quantidade]]+E116-F116+BS116-AM116)</f>
        <v>4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50">
        <f t="shared" si="2"/>
        <v>0</v>
      </c>
      <c r="AN116" s="53"/>
      <c r="AO116" s="53"/>
      <c r="AP116" s="53"/>
      <c r="AQ116" s="53"/>
      <c r="AR116" s="53"/>
      <c r="AS116" s="53"/>
      <c r="AT116" s="53"/>
      <c r="AU116" s="53"/>
      <c r="AV116" s="53">
        <v>4</v>
      </c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2">
        <f t="shared" si="1"/>
        <v>4</v>
      </c>
    </row>
    <row r="117" spans="1:71" hidden="1" outlineLevel="1">
      <c r="A117" s="39" t="s">
        <v>802</v>
      </c>
      <c r="B117" s="39">
        <v>0</v>
      </c>
      <c r="C117" s="39"/>
      <c r="D117" s="39"/>
      <c r="E117" s="42"/>
      <c r="F117" s="43"/>
      <c r="G117" s="44">
        <f>SUM(Tabela1[[#This Row],[Quantidade]]+E117-F117+BS117-AM117)</f>
        <v>2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50">
        <f t="shared" si="2"/>
        <v>0</v>
      </c>
      <c r="AN117" s="51"/>
      <c r="AO117" s="51"/>
      <c r="AP117" s="51"/>
      <c r="AQ117" s="51"/>
      <c r="AR117" s="51"/>
      <c r="AS117" s="51"/>
      <c r="AT117" s="51"/>
      <c r="AU117" s="51"/>
      <c r="AV117" s="51">
        <v>1</v>
      </c>
      <c r="AW117" s="51"/>
      <c r="AX117" s="51">
        <v>1</v>
      </c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2">
        <f t="shared" si="1"/>
        <v>2</v>
      </c>
    </row>
    <row r="118" spans="1:71" hidden="1" outlineLevel="1">
      <c r="A118" s="39" t="s">
        <v>803</v>
      </c>
      <c r="B118" s="39">
        <v>0</v>
      </c>
      <c r="C118" s="39"/>
      <c r="D118" s="39"/>
      <c r="E118" s="42"/>
      <c r="F118" s="43"/>
      <c r="G118" s="44">
        <f>SUM(Tabela1[[#This Row],[Quantidade]]+E118-F118+BS118-AM118)</f>
        <v>2</v>
      </c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50">
        <f t="shared" si="2"/>
        <v>0</v>
      </c>
      <c r="AN118" s="53"/>
      <c r="AO118" s="53"/>
      <c r="AP118" s="53"/>
      <c r="AQ118" s="53"/>
      <c r="AR118" s="53"/>
      <c r="AS118" s="53"/>
      <c r="AT118" s="53"/>
      <c r="AU118" s="53"/>
      <c r="AV118" s="53">
        <v>2</v>
      </c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2">
        <f t="shared" si="1"/>
        <v>2</v>
      </c>
    </row>
    <row r="119" spans="1:71" hidden="1" outlineLevel="1">
      <c r="A119" s="38" t="s">
        <v>804</v>
      </c>
      <c r="B119" s="38">
        <v>0</v>
      </c>
      <c r="C119" s="38"/>
      <c r="D119" s="38"/>
      <c r="E119" s="42"/>
      <c r="F119" s="43"/>
      <c r="G119" s="44">
        <f>SUM(Tabela1[[#This Row],[Quantidade]]+E119-F119+BS119-AM119)</f>
        <v>8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50">
        <f t="shared" ref="AM119" si="3">SUM(H119:AL119)</f>
        <v>0</v>
      </c>
      <c r="AN119" s="51"/>
      <c r="AO119" s="51"/>
      <c r="AP119" s="51"/>
      <c r="AQ119" s="51"/>
      <c r="AR119" s="51"/>
      <c r="AS119" s="51"/>
      <c r="AT119" s="51"/>
      <c r="AU119" s="51"/>
      <c r="AV119" s="51">
        <v>8</v>
      </c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2">
        <f t="shared" ref="BS119" si="4">SUM(AN119:BR119)</f>
        <v>8</v>
      </c>
    </row>
    <row r="120" spans="1:71" hidden="1" outlineLevel="1">
      <c r="A120" s="38" t="s">
        <v>805</v>
      </c>
      <c r="B120" s="38">
        <v>0</v>
      </c>
      <c r="C120" s="38"/>
      <c r="D120" s="38"/>
      <c r="E120" s="39"/>
      <c r="F120" s="39"/>
      <c r="G120" s="39">
        <f>SUM(Tabela1[[#This Row],[Quantidade]]+E120-F120+BS120-AM120)</f>
        <v>5</v>
      </c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>
        <v>20</v>
      </c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50">
        <f t="shared" ref="AM120" si="5">SUM(H120:AL120)</f>
        <v>20</v>
      </c>
      <c r="AN120" s="53"/>
      <c r="AO120" s="53"/>
      <c r="AP120" s="53"/>
      <c r="AQ120" s="53"/>
      <c r="AR120" s="53"/>
      <c r="AS120" s="53"/>
      <c r="AT120" s="53"/>
      <c r="AU120" s="53"/>
      <c r="AV120" s="53">
        <v>25</v>
      </c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39">
        <f t="shared" ref="BS120" si="6">SUM(AN120:BR120)</f>
        <v>25</v>
      </c>
    </row>
    <row r="121" spans="1:71" hidden="1" collapsed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5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</row>
    <row r="122" spans="1:71">
      <c r="A122" s="41"/>
      <c r="B122" s="38"/>
      <c r="C122" s="38"/>
      <c r="D122" s="38"/>
    </row>
  </sheetData>
  <sortState xmlns:xlrd2="http://schemas.microsoft.com/office/spreadsheetml/2017/richdata2" ref="A1:BS1">
    <sortCondition ref="A1"/>
  </sortState>
  <conditionalFormatting sqref="B2:B1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S300"/>
  <sheetViews>
    <sheetView zoomScale="40" zoomScaleNormal="40" workbookViewId="0">
      <pane xSplit="7" ySplit="1" topLeftCell="H3" activePane="bottomRight" state="frozen"/>
      <selection pane="bottomRight" activeCell="A20" sqref="A20"/>
      <selection pane="bottomLeft" activeCell="A2" sqref="A2"/>
      <selection pane="topRight" activeCell="H1" sqref="H1"/>
    </sheetView>
  </sheetViews>
  <sheetFormatPr defaultColWidth="9.28515625" defaultRowHeight="14.65"/>
  <cols>
    <col min="1" max="1" width="49.5703125" style="11" bestFit="1" customWidth="1"/>
    <col min="2" max="2" width="25.28515625" style="14" bestFit="1" customWidth="1"/>
    <col min="3" max="3" width="19.5703125" style="14" bestFit="1" customWidth="1"/>
    <col min="4" max="4" width="25.7109375" bestFit="1" customWidth="1"/>
    <col min="5" max="5" width="10.28515625" bestFit="1" customWidth="1"/>
    <col min="6" max="6" width="7.28515625" bestFit="1" customWidth="1"/>
    <col min="7" max="7" width="11.5703125" bestFit="1" customWidth="1"/>
    <col min="8" max="8" width="18.7109375" bestFit="1" customWidth="1"/>
    <col min="9" max="16" width="19.140625" bestFit="1" customWidth="1"/>
    <col min="17" max="17" width="18.7109375" bestFit="1" customWidth="1"/>
    <col min="18" max="18" width="18.42578125" bestFit="1" customWidth="1"/>
    <col min="19" max="26" width="18.7109375" bestFit="1" customWidth="1"/>
    <col min="27" max="27" width="19.140625" bestFit="1" customWidth="1"/>
    <col min="28" max="28" width="18.7109375" bestFit="1" customWidth="1"/>
    <col min="29" max="37" width="19.140625" bestFit="1" customWidth="1"/>
    <col min="38" max="38" width="18.7109375" bestFit="1" customWidth="1"/>
    <col min="39" max="39" width="7" style="30" bestFit="1" customWidth="1"/>
    <col min="40" max="40" width="12.5703125" customWidth="1"/>
    <col min="41" max="48" width="12.7109375" customWidth="1"/>
    <col min="49" max="49" width="12.5703125" customWidth="1"/>
    <col min="50" max="50" width="12.140625" customWidth="1"/>
    <col min="51" max="58" width="12.5703125" customWidth="1"/>
    <col min="59" max="59" width="12.7109375" customWidth="1"/>
    <col min="60" max="60" width="12.5703125" customWidth="1"/>
    <col min="61" max="69" width="12.7109375" customWidth="1"/>
    <col min="70" max="70" width="12.5703125" customWidth="1"/>
    <col min="71" max="443" width="10.28515625" bestFit="1" customWidth="1"/>
  </cols>
  <sheetData>
    <row r="1" spans="1:71">
      <c r="A1" s="19" t="str">
        <f>'DEZEMBRO-25'!A1</f>
        <v>DATA DE INÍCIO:</v>
      </c>
      <c r="B1" s="20" t="str">
        <f>'DEZEMBRO-25'!G1</f>
        <v>ESTOQUE</v>
      </c>
      <c r="C1" s="21" t="str">
        <f>'DEZEMBRO-25'!C1</f>
        <v>DATA FINAL:</v>
      </c>
      <c r="D1" s="20">
        <f>'DEZEMBRO-25'!D1</f>
        <v>45964</v>
      </c>
      <c r="E1" s="27" t="s">
        <v>639</v>
      </c>
      <c r="F1" s="26" t="s">
        <v>640</v>
      </c>
      <c r="G1" s="26" t="s">
        <v>5</v>
      </c>
      <c r="H1" s="28" t="s">
        <v>645</v>
      </c>
      <c r="I1" s="28" t="s">
        <v>646</v>
      </c>
      <c r="J1" s="28" t="s">
        <v>647</v>
      </c>
      <c r="K1" s="28" t="s">
        <v>648</v>
      </c>
      <c r="L1" s="28" t="s">
        <v>649</v>
      </c>
      <c r="M1" s="28" t="s">
        <v>650</v>
      </c>
      <c r="N1" s="28" t="s">
        <v>651</v>
      </c>
      <c r="O1" s="28" t="s">
        <v>652</v>
      </c>
      <c r="P1" s="28" t="s">
        <v>653</v>
      </c>
      <c r="Q1" s="28" t="s">
        <v>654</v>
      </c>
      <c r="R1" s="28" t="s">
        <v>655</v>
      </c>
      <c r="S1" s="28" t="s">
        <v>656</v>
      </c>
      <c r="T1" s="28" t="s">
        <v>657</v>
      </c>
      <c r="U1" s="28" t="s">
        <v>658</v>
      </c>
      <c r="V1" s="28" t="s">
        <v>659</v>
      </c>
      <c r="W1" s="28" t="s">
        <v>660</v>
      </c>
      <c r="X1" s="28" t="s">
        <v>661</v>
      </c>
      <c r="Y1" s="28" t="s">
        <v>662</v>
      </c>
      <c r="Z1" s="28" t="s">
        <v>663</v>
      </c>
      <c r="AA1" s="28" t="s">
        <v>664</v>
      </c>
      <c r="AB1" s="28" t="s">
        <v>665</v>
      </c>
      <c r="AC1" s="28" t="s">
        <v>666</v>
      </c>
      <c r="AD1" s="28" t="s">
        <v>667</v>
      </c>
      <c r="AE1" s="28" t="s">
        <v>668</v>
      </c>
      <c r="AF1" s="28" t="s">
        <v>669</v>
      </c>
      <c r="AG1" s="28" t="s">
        <v>670</v>
      </c>
      <c r="AH1" s="28" t="s">
        <v>671</v>
      </c>
      <c r="AI1" s="28" t="s">
        <v>672</v>
      </c>
      <c r="AJ1" s="28" t="s">
        <v>673</v>
      </c>
      <c r="AK1" s="28" t="s">
        <v>674</v>
      </c>
      <c r="AL1" s="28" t="s">
        <v>675</v>
      </c>
      <c r="AM1" s="30" t="s">
        <v>676</v>
      </c>
      <c r="AN1" s="1" t="s">
        <v>645</v>
      </c>
      <c r="AO1" s="1" t="s">
        <v>646</v>
      </c>
      <c r="AP1" s="1" t="s">
        <v>647</v>
      </c>
      <c r="AQ1" s="1" t="s">
        <v>648</v>
      </c>
      <c r="AR1" s="1" t="s">
        <v>649</v>
      </c>
      <c r="AS1" s="1" t="s">
        <v>650</v>
      </c>
      <c r="AT1" s="1" t="s">
        <v>651</v>
      </c>
      <c r="AU1" s="1" t="s">
        <v>652</v>
      </c>
      <c r="AV1" s="1" t="s">
        <v>653</v>
      </c>
      <c r="AW1" s="1" t="s">
        <v>654</v>
      </c>
      <c r="AX1" s="1" t="s">
        <v>655</v>
      </c>
      <c r="AY1" s="1" t="s">
        <v>656</v>
      </c>
      <c r="AZ1" s="1" t="s">
        <v>657</v>
      </c>
      <c r="BA1" s="1" t="s">
        <v>658</v>
      </c>
      <c r="BB1" s="1" t="s">
        <v>659</v>
      </c>
      <c r="BC1" s="1" t="s">
        <v>660</v>
      </c>
      <c r="BD1" s="1" t="s">
        <v>661</v>
      </c>
      <c r="BE1" s="1" t="s">
        <v>662</v>
      </c>
      <c r="BF1" s="1" t="s">
        <v>663</v>
      </c>
      <c r="BG1" s="1" t="s">
        <v>664</v>
      </c>
      <c r="BH1" s="1" t="s">
        <v>665</v>
      </c>
      <c r="BI1" s="1" t="s">
        <v>666</v>
      </c>
      <c r="BJ1" s="1" t="s">
        <v>667</v>
      </c>
      <c r="BK1" s="1" t="s">
        <v>668</v>
      </c>
      <c r="BL1" s="1" t="s">
        <v>669</v>
      </c>
      <c r="BM1" s="1" t="s">
        <v>670</v>
      </c>
      <c r="BN1" s="1" t="s">
        <v>671</v>
      </c>
      <c r="BO1" s="1" t="s">
        <v>672</v>
      </c>
      <c r="BP1" s="1" t="s">
        <v>673</v>
      </c>
      <c r="BQ1" s="1" t="s">
        <v>674</v>
      </c>
      <c r="BR1" s="1" t="s">
        <v>675</v>
      </c>
      <c r="BS1" s="31" t="s">
        <v>6</v>
      </c>
    </row>
    <row r="2" spans="1:71" ht="15" hidden="1" thickBot="1">
      <c r="A2" s="9" t="str">
        <f>'DEZEMBRO-25'!A2</f>
        <v>Produto</v>
      </c>
      <c r="B2" s="12" t="str">
        <f>'DEZEMBRO-25'!G2</f>
        <v>SUBTOTAL</v>
      </c>
      <c r="C2" s="15" t="str">
        <f>'DEZEMBRO-25'!C2</f>
        <v>CLAS.</v>
      </c>
      <c r="D2" s="15" t="str">
        <f>'DEZEMBRO-25'!D2</f>
        <v>Observação</v>
      </c>
      <c r="E2" s="23" t="s">
        <v>6</v>
      </c>
      <c r="F2" s="22" t="s">
        <v>4</v>
      </c>
      <c r="G2" s="25" t="s">
        <v>644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BS2" s="31"/>
    </row>
    <row r="3" spans="1:71" ht="15" thickBot="1">
      <c r="A3" s="9" t="str">
        <f>'DEZEMBRO-25'!A3</f>
        <v>ÁGUA SANITÁRIA 2L</v>
      </c>
      <c r="B3" s="12">
        <f>'DEZEMBRO-25'!G3</f>
        <v>64</v>
      </c>
      <c r="C3" s="15" t="str">
        <f>'DEZEMBRO-25'!C3</f>
        <v>CX</v>
      </c>
      <c r="D3" s="15" t="str">
        <f>'DEZEMBRO-25'!D3</f>
        <v>C/100UN</v>
      </c>
      <c r="E3" s="23"/>
      <c r="F3" s="24"/>
      <c r="G3" s="25" t="e">
        <f>#REF!+E3-F3-AM3+BS3</f>
        <v>#REF!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30">
        <f>SUM(H3:AL3)</f>
        <v>0</v>
      </c>
      <c r="BS3" s="31">
        <f>SUM(AN3:BR3)</f>
        <v>0</v>
      </c>
    </row>
    <row r="4" spans="1:71" ht="15" thickBot="1">
      <c r="A4" s="9" t="str">
        <f>'DEZEMBRO-25'!A4</f>
        <v>AGULHA HIPODÉRMICA 13X4.5 C/100</v>
      </c>
      <c r="B4" s="12">
        <f>'DEZEMBRO-25'!G4</f>
        <v>60</v>
      </c>
      <c r="C4" s="15" t="str">
        <f>'DEZEMBRO-25'!C4</f>
        <v>CX</v>
      </c>
      <c r="D4" s="15" t="str">
        <f>'DEZEMBRO-25'!D4</f>
        <v>C/100UN</v>
      </c>
      <c r="E4" s="23"/>
      <c r="F4" s="24"/>
      <c r="G4" s="25" t="e">
        <f>#REF!+E4-F4-AM4</f>
        <v>#REF!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30">
        <f t="shared" ref="AM4:AM67" si="0">SUM(H4:AL4)</f>
        <v>0</v>
      </c>
      <c r="BS4" s="31">
        <f t="shared" ref="BS4:BS67" si="1">SUM(AN4:BR4)</f>
        <v>0</v>
      </c>
    </row>
    <row r="5" spans="1:71" ht="15" thickBot="1">
      <c r="A5" s="9" t="str">
        <f>'DEZEMBRO-25'!A5</f>
        <v>AGULHA HIPODÉRMICA 20X5.5 C/100</v>
      </c>
      <c r="B5" s="12">
        <f>'DEZEMBRO-25'!G5</f>
        <v>60</v>
      </c>
      <c r="C5" s="15" t="str">
        <f>'DEZEMBRO-25'!C5</f>
        <v>CX</v>
      </c>
      <c r="D5" s="15" t="str">
        <f>'DEZEMBRO-25'!D5</f>
        <v>C/100UN</v>
      </c>
      <c r="E5" s="23"/>
      <c r="F5" s="22"/>
      <c r="G5" s="25" t="e">
        <f>#REF!+E5-F5-AM5</f>
        <v>#REF!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30">
        <f t="shared" si="0"/>
        <v>0</v>
      </c>
      <c r="BS5" s="31">
        <f t="shared" si="1"/>
        <v>0</v>
      </c>
    </row>
    <row r="6" spans="1:71" ht="15" thickBot="1">
      <c r="A6" s="9" t="str">
        <f>'DEZEMBRO-25'!A6</f>
        <v>AGULHA HIPODÉRMICA 25X8 C/100</v>
      </c>
      <c r="B6" s="12">
        <f>'DEZEMBRO-25'!G6</f>
        <v>71</v>
      </c>
      <c r="C6" s="15" t="str">
        <f>'DEZEMBRO-25'!C6</f>
        <v>CX</v>
      </c>
      <c r="D6" s="15" t="str">
        <f>'DEZEMBRO-25'!D6</f>
        <v>C/100UN</v>
      </c>
      <c r="E6" s="23"/>
      <c r="F6" s="22"/>
      <c r="G6" s="25" t="e">
        <f>#REF!+E6-F6-AM6</f>
        <v>#REF!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30">
        <f t="shared" si="0"/>
        <v>0</v>
      </c>
      <c r="BS6" s="31">
        <f t="shared" si="1"/>
        <v>0</v>
      </c>
    </row>
    <row r="7" spans="1:71" ht="15" thickBot="1">
      <c r="A7" s="9" t="str">
        <f>'DEZEMBRO-25'!A7</f>
        <v>AGULHA HIPODÉRMICA 40X12 C/100</v>
      </c>
      <c r="B7" s="12">
        <f>'DEZEMBRO-25'!G7</f>
        <v>20</v>
      </c>
      <c r="C7" s="15" t="str">
        <f>'DEZEMBRO-25'!C7</f>
        <v>CX</v>
      </c>
      <c r="D7" s="15" t="str">
        <f>'DEZEMBRO-25'!D7</f>
        <v>C/100UN</v>
      </c>
      <c r="E7" s="23"/>
      <c r="F7" s="22"/>
      <c r="G7" s="25" t="e">
        <f>#REF!+E7-F7-AM7</f>
        <v>#REF!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30">
        <f t="shared" si="0"/>
        <v>0</v>
      </c>
      <c r="BS7" s="31">
        <f t="shared" si="1"/>
        <v>0</v>
      </c>
    </row>
    <row r="8" spans="1:71" ht="15" hidden="1" thickBot="1">
      <c r="A8" s="9" t="str">
        <f>'DEZEMBRO-25'!A8</f>
        <v>ÁLCOOL</v>
      </c>
      <c r="B8" s="12" t="e">
        <f>'DEZEMBRO-25'!G8</f>
        <v>#VALUE!</v>
      </c>
      <c r="C8" s="15" t="str">
        <f>'DEZEMBRO-25'!C8</f>
        <v>TEM MUITO</v>
      </c>
      <c r="D8" s="15" t="str">
        <f>'DEZEMBRO-25'!D8</f>
        <v>TEM MUITO</v>
      </c>
      <c r="E8" s="23"/>
      <c r="F8" s="22"/>
      <c r="G8" s="25" t="e">
        <f>#REF!+E8-F8-AM8</f>
        <v>#REF!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0">
        <f t="shared" si="0"/>
        <v>0</v>
      </c>
      <c r="BS8" s="31">
        <f t="shared" si="1"/>
        <v>0</v>
      </c>
    </row>
    <row r="9" spans="1:71" ht="15" thickBot="1">
      <c r="A9" s="9" t="str">
        <f>'DEZEMBRO-25'!A9</f>
        <v>ALGODÃO HIDRÓFILO</v>
      </c>
      <c r="B9" s="12">
        <f>'DEZEMBRO-25'!G9</f>
        <v>125</v>
      </c>
      <c r="C9" s="15" t="str">
        <f>'DEZEMBRO-25'!C9</f>
        <v>UND</v>
      </c>
      <c r="D9" s="15" t="str">
        <f>'DEZEMBRO-25'!D9</f>
        <v>500G</v>
      </c>
      <c r="E9" s="23"/>
      <c r="F9" s="22"/>
      <c r="G9" s="25" t="e">
        <f>#REF!+E9-F9-AM9</f>
        <v>#REF!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30">
        <f t="shared" si="0"/>
        <v>0</v>
      </c>
      <c r="BS9" s="31">
        <f t="shared" si="1"/>
        <v>0</v>
      </c>
    </row>
    <row r="10" spans="1:71" ht="15" thickBot="1">
      <c r="A10" s="9" t="str">
        <f>'DEZEMBRO-25'!A10</f>
        <v>ALGODÃO ORTOPÉDICO 10CM</v>
      </c>
      <c r="B10" s="12">
        <f>'DEZEMBRO-25'!G10</f>
        <v>0</v>
      </c>
      <c r="C10" s="15">
        <f>'DEZEMBRO-25'!C10</f>
        <v>0</v>
      </c>
      <c r="D10" s="15">
        <f>'DEZEMBRO-25'!D10</f>
        <v>0</v>
      </c>
      <c r="E10" s="23"/>
      <c r="F10" s="22"/>
      <c r="G10" s="25" t="e">
        <f>#REF!+E10-F10-AM10</f>
        <v>#REF!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30">
        <f t="shared" si="0"/>
        <v>0</v>
      </c>
      <c r="BS10" s="31">
        <f t="shared" si="1"/>
        <v>0</v>
      </c>
    </row>
    <row r="11" spans="1:71" ht="15" thickBot="1">
      <c r="A11" s="9" t="str">
        <f>'DEZEMBRO-25'!A11</f>
        <v>ALGODÃO ORTOPÉDICO 20CM</v>
      </c>
      <c r="B11" s="12">
        <f>'DEZEMBRO-25'!G11</f>
        <v>100</v>
      </c>
      <c r="C11" s="15" t="str">
        <f>'DEZEMBRO-25'!C11</f>
        <v>UND</v>
      </c>
      <c r="D11" s="15" t="str">
        <f>'DEZEMBRO-25'!D11</f>
        <v>OLHAR COM ZE MARIA</v>
      </c>
      <c r="E11" s="23"/>
      <c r="F11" s="22"/>
      <c r="G11" s="25" t="e">
        <f>#REF!+E11-F11-AM11</f>
        <v>#REF!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30">
        <f t="shared" si="0"/>
        <v>0</v>
      </c>
      <c r="BS11" s="31">
        <f t="shared" si="1"/>
        <v>0</v>
      </c>
    </row>
    <row r="12" spans="1:71" ht="15" thickBot="1">
      <c r="A12" s="9" t="str">
        <f>'DEZEMBRO-25'!A12</f>
        <v>ALMOTOLIA 250 ML</v>
      </c>
      <c r="B12" s="12">
        <f>'DEZEMBRO-25'!G12</f>
        <v>100</v>
      </c>
      <c r="C12" s="15" t="str">
        <f>'DEZEMBRO-25'!C12</f>
        <v>UND</v>
      </c>
      <c r="D12" s="15" t="str">
        <f>'DEZEMBRO-25'!D12</f>
        <v>NÃO SAI</v>
      </c>
      <c r="E12" s="23"/>
      <c r="F12" s="22"/>
      <c r="G12" s="25" t="e">
        <f>#REF!+E12-F12-AM12</f>
        <v>#REF!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30">
        <f t="shared" si="0"/>
        <v>0</v>
      </c>
      <c r="BS12" s="31">
        <f t="shared" si="1"/>
        <v>0</v>
      </c>
    </row>
    <row r="13" spans="1:71" ht="15" thickBot="1">
      <c r="A13" s="9" t="str">
        <f>'DEZEMBRO-25'!A13</f>
        <v>ALMOTOLIA 500 ML</v>
      </c>
      <c r="B13" s="12">
        <f>'DEZEMBRO-25'!G13</f>
        <v>0</v>
      </c>
      <c r="C13" s="15">
        <f>'DEZEMBRO-25'!C13</f>
        <v>0</v>
      </c>
      <c r="D13" s="15">
        <f>'DEZEMBRO-25'!D13</f>
        <v>0</v>
      </c>
      <c r="E13" s="23"/>
      <c r="F13" s="22"/>
      <c r="G13" s="25" t="e">
        <f>#REF!+E13-F13-AM13</f>
        <v>#REF!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30">
        <f t="shared" si="0"/>
        <v>0</v>
      </c>
      <c r="BS13" s="31">
        <f t="shared" si="1"/>
        <v>0</v>
      </c>
    </row>
    <row r="14" spans="1:71" ht="15" thickBot="1">
      <c r="A14" s="9" t="str">
        <f>'DEZEMBRO-25'!A14</f>
        <v>APARELHO MEDIDOR GLICOSE (GLICOSÍMETRO)</v>
      </c>
      <c r="B14" s="12" t="e">
        <f>'DEZEMBRO-25'!G14</f>
        <v>#VALUE!</v>
      </c>
      <c r="C14" s="12" t="str">
        <f>'DEZEMBRO-25'!C14</f>
        <v>CONTAR</v>
      </c>
      <c r="D14" s="15" t="str">
        <f>'DEZEMBRO-25'!D14</f>
        <v>CONTAR</v>
      </c>
      <c r="E14" s="23"/>
      <c r="F14" s="22"/>
      <c r="G14" s="25" t="e">
        <f>#REF!+E14-F14-AM14</f>
        <v>#REF!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>
        <f t="shared" si="0"/>
        <v>0</v>
      </c>
      <c r="BS14" s="31">
        <f t="shared" si="1"/>
        <v>0</v>
      </c>
    </row>
    <row r="15" spans="1:71" ht="15" thickBot="1">
      <c r="A15" s="9" t="str">
        <f>'DEZEMBRO-25'!A15</f>
        <v>ATADURA CREPE 10CM</v>
      </c>
      <c r="B15" s="12">
        <f>'DEZEMBRO-25'!G15</f>
        <v>90</v>
      </c>
      <c r="C15" s="15" t="str">
        <f>'DEZEMBRO-25'!C15</f>
        <v>PCT</v>
      </c>
      <c r="D15" s="15" t="str">
        <f>'DEZEMBRO-25'!D15</f>
        <v>SAI MUITO</v>
      </c>
      <c r="E15" s="23"/>
      <c r="F15" s="22"/>
      <c r="G15" s="25" t="e">
        <f>#REF!+E15-F15-AM15</f>
        <v>#REF!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30">
        <f t="shared" si="0"/>
        <v>0</v>
      </c>
      <c r="BS15" s="31">
        <f t="shared" si="1"/>
        <v>0</v>
      </c>
    </row>
    <row r="16" spans="1:71" ht="15" thickBot="1">
      <c r="A16" s="9" t="str">
        <f>'DEZEMBRO-25'!A16</f>
        <v>ATADURA CREPE 15CM</v>
      </c>
      <c r="B16" s="12">
        <f>'DEZEMBRO-25'!G16</f>
        <v>69</v>
      </c>
      <c r="C16" s="15" t="str">
        <f>'DEZEMBRO-25'!C16</f>
        <v>PCT</v>
      </c>
      <c r="D16" s="15" t="str">
        <f>'DEZEMBRO-25'!D16</f>
        <v>SAI MUITO</v>
      </c>
      <c r="E16" s="23"/>
      <c r="F16" s="22"/>
      <c r="G16" s="25" t="e">
        <f>#REF!+E16-F16-AM16</f>
        <v>#REF!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30">
        <f t="shared" si="0"/>
        <v>0</v>
      </c>
      <c r="BS16" s="31">
        <f t="shared" si="1"/>
        <v>0</v>
      </c>
    </row>
    <row r="17" spans="1:71" ht="15" thickBot="1">
      <c r="A17" s="9" t="str">
        <f>'DEZEMBRO-25'!A17</f>
        <v>ATADURA CREPE 20CM</v>
      </c>
      <c r="B17" s="12">
        <f>'DEZEMBRO-25'!G17</f>
        <v>34</v>
      </c>
      <c r="C17" s="15" t="str">
        <f>'DEZEMBRO-25'!C17</f>
        <v>PCT</v>
      </c>
      <c r="D17" s="15" t="str">
        <f>'DEZEMBRO-25'!D17</f>
        <v>SAI MUITO</v>
      </c>
      <c r="E17" s="23"/>
      <c r="F17" s="22"/>
      <c r="G17" s="25" t="e">
        <f>#REF!+E17-F17-AM17</f>
        <v>#REF!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30">
        <f t="shared" si="0"/>
        <v>0</v>
      </c>
      <c r="BS17" s="31">
        <f t="shared" si="1"/>
        <v>0</v>
      </c>
    </row>
    <row r="18" spans="1:71" ht="15" thickBot="1">
      <c r="A18" s="9" t="str">
        <f>'DEZEMBRO-25'!A18</f>
        <v>ATADURA DE ALGODÃO 10CM</v>
      </c>
      <c r="B18" s="12">
        <f>'DEZEMBRO-25'!G18</f>
        <v>0</v>
      </c>
      <c r="C18" s="15">
        <f>'DEZEMBRO-25'!C18</f>
        <v>0</v>
      </c>
      <c r="D18" s="15" t="str">
        <f>'DEZEMBRO-25'!D18</f>
        <v>OLHAR COM ZE MARIA</v>
      </c>
      <c r="E18" s="23"/>
      <c r="F18" s="22"/>
      <c r="G18" s="25" t="e">
        <f>#REF!+E18-F18-AM18</f>
        <v>#REF!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30">
        <f t="shared" si="0"/>
        <v>0</v>
      </c>
      <c r="BS18" s="31">
        <f t="shared" si="1"/>
        <v>0</v>
      </c>
    </row>
    <row r="19" spans="1:71" ht="15" thickBot="1">
      <c r="A19" s="9" t="str">
        <f>'DEZEMBRO-25'!A19</f>
        <v>ATADURA DE ALGODÃO 15CM</v>
      </c>
      <c r="B19" s="12">
        <f>'DEZEMBRO-25'!G19</f>
        <v>0</v>
      </c>
      <c r="C19" s="15">
        <f>'DEZEMBRO-25'!C19</f>
        <v>0</v>
      </c>
      <c r="D19" s="15" t="str">
        <f>'DEZEMBRO-25'!D19</f>
        <v>OLHAR COM ZE MARIA</v>
      </c>
      <c r="E19" s="23"/>
      <c r="F19" s="22"/>
      <c r="G19" s="25" t="e">
        <f>#REF!+E19-F19-AM19</f>
        <v>#REF!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30">
        <f t="shared" si="0"/>
        <v>0</v>
      </c>
      <c r="BS19" s="31">
        <f t="shared" si="1"/>
        <v>0</v>
      </c>
    </row>
    <row r="20" spans="1:71" ht="15" thickBot="1">
      <c r="A20" s="9" t="str">
        <f>'DEZEMBRO-25'!A20</f>
        <v>ATADURA DE ALGODÃO 20CM</v>
      </c>
      <c r="B20" s="12">
        <f>'DEZEMBRO-25'!G20</f>
        <v>0</v>
      </c>
      <c r="C20" s="15">
        <f>'DEZEMBRO-25'!C20</f>
        <v>0</v>
      </c>
      <c r="D20" s="15" t="str">
        <f>'DEZEMBRO-25'!D20</f>
        <v>OLHAR COM ZE MARIA</v>
      </c>
      <c r="E20" s="23"/>
      <c r="F20" s="22"/>
      <c r="G20" s="25" t="e">
        <f>#REF!+E20-F20-AM20</f>
        <v>#REF!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30">
        <f t="shared" si="0"/>
        <v>0</v>
      </c>
      <c r="BS20" s="31">
        <f t="shared" si="1"/>
        <v>0</v>
      </c>
    </row>
    <row r="21" spans="1:71" ht="15" thickBot="1">
      <c r="A21" s="9" t="str">
        <f>'DEZEMBRO-25'!A21</f>
        <v>BATERIA GLICOSE (GLICOSÍMETRO)</v>
      </c>
      <c r="B21" s="12">
        <f>'DEZEMBRO-25'!G21</f>
        <v>5</v>
      </c>
      <c r="C21" s="15" t="str">
        <f>'DEZEMBRO-25'!C21</f>
        <v>UND</v>
      </c>
      <c r="D21" s="15" t="str">
        <f>'DEZEMBRO-25'!D21</f>
        <v>COMPRAR</v>
      </c>
      <c r="E21" s="23"/>
      <c r="F21" s="22"/>
      <c r="G21" s="25" t="e">
        <f>#REF!+E21-F21-AM21</f>
        <v>#REF!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30">
        <f t="shared" si="0"/>
        <v>0</v>
      </c>
      <c r="BS21" s="31">
        <f t="shared" si="1"/>
        <v>0</v>
      </c>
    </row>
    <row r="22" spans="1:71" ht="15" thickBot="1">
      <c r="A22" s="9" t="str">
        <f>'DEZEMBRO-25'!A22</f>
        <v>BOLSA COLETORA DE URINA</v>
      </c>
      <c r="B22" s="12">
        <f>'DEZEMBRO-25'!G22</f>
        <v>0</v>
      </c>
      <c r="C22" s="15" t="str">
        <f>'DEZEMBRO-25'!C22</f>
        <v>UND</v>
      </c>
      <c r="D22" s="15" t="str">
        <f>'DEZEMBRO-25'!D22</f>
        <v>COMPRA</v>
      </c>
      <c r="E22" s="23"/>
      <c r="F22" s="22"/>
      <c r="G22" s="25" t="e">
        <f>#REF!+E22-F22-AM22</f>
        <v>#REF!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30">
        <f t="shared" si="0"/>
        <v>0</v>
      </c>
      <c r="BS22" s="31">
        <f t="shared" si="1"/>
        <v>0</v>
      </c>
    </row>
    <row r="23" spans="1:71" ht="15" thickBot="1">
      <c r="A23" s="9" t="str">
        <f>'DEZEMBRO-25'!A23</f>
        <v>BOM AR</v>
      </c>
      <c r="B23" s="12">
        <f>'DEZEMBRO-25'!G23</f>
        <v>5</v>
      </c>
      <c r="C23" s="15" t="str">
        <f>'DEZEMBRO-25'!C23</f>
        <v>UND</v>
      </c>
      <c r="D23" s="15" t="str">
        <f>'DEZEMBRO-25'!D23</f>
        <v>COMPRAR</v>
      </c>
      <c r="E23" s="23"/>
      <c r="F23" s="22"/>
      <c r="G23" s="25" t="e">
        <f>#REF!+E23-F23-AM23</f>
        <v>#REF!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30">
        <f t="shared" si="0"/>
        <v>0</v>
      </c>
      <c r="BS23" s="31">
        <f t="shared" si="1"/>
        <v>0</v>
      </c>
    </row>
    <row r="24" spans="1:71" ht="15" thickBot="1">
      <c r="A24" s="9" t="str">
        <f>'DEZEMBRO-25'!A24</f>
        <v>CADERNO BROCHURA CAP. DURA (grande)</v>
      </c>
      <c r="B24" s="12">
        <f>'DEZEMBRO-25'!G24</f>
        <v>90</v>
      </c>
      <c r="C24" s="15" t="str">
        <f>'DEZEMBRO-25'!C24</f>
        <v>UND</v>
      </c>
      <c r="D24" s="15" t="str">
        <f>'DEZEMBRO-25'!D24</f>
        <v>MAIS 220 DE CAPA MOLE</v>
      </c>
      <c r="E24" s="23"/>
      <c r="F24" s="22"/>
      <c r="G24" s="25" t="e">
        <f>#REF!+E24-F24-AM24</f>
        <v>#REF!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30">
        <f t="shared" si="0"/>
        <v>0</v>
      </c>
      <c r="BS24" s="31">
        <f t="shared" si="1"/>
        <v>0</v>
      </c>
    </row>
    <row r="25" spans="1:71" ht="15" thickBot="1">
      <c r="A25" s="9" t="str">
        <f>'DEZEMBRO-25'!A25</f>
        <v>CAIXA BOX</v>
      </c>
      <c r="B25" s="12">
        <f>'DEZEMBRO-25'!G25</f>
        <v>10</v>
      </c>
      <c r="C25" s="15" t="str">
        <f>'DEZEMBRO-25'!C25</f>
        <v>UND</v>
      </c>
      <c r="D25" s="15" t="str">
        <f>'DEZEMBRO-25'!D25</f>
        <v>OLHAR COM RUAM</v>
      </c>
      <c r="E25" s="23"/>
      <c r="F25" s="22"/>
      <c r="G25" s="25" t="e">
        <f>#REF!+E25-F25-AM25</f>
        <v>#REF!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30">
        <f t="shared" si="0"/>
        <v>0</v>
      </c>
      <c r="BS25" s="31">
        <f t="shared" si="1"/>
        <v>0</v>
      </c>
    </row>
    <row r="26" spans="1:71" ht="15" thickBot="1">
      <c r="A26" s="9" t="str">
        <f>'DEZEMBRO-25'!A26</f>
        <v>CANETA PARA RETROPROJETOR AZUL</v>
      </c>
      <c r="B26" s="12">
        <f>'DEZEMBRO-25'!G26</f>
        <v>0</v>
      </c>
      <c r="C26" s="15">
        <f>'DEZEMBRO-25'!C26</f>
        <v>0</v>
      </c>
      <c r="D26" s="15">
        <f>'DEZEMBRO-25'!D26</f>
        <v>0</v>
      </c>
      <c r="E26" s="23"/>
      <c r="F26" s="22"/>
      <c r="G26" s="25" t="e">
        <f>#REF!+E26-F26-AM26</f>
        <v>#REF!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>
        <f t="shared" si="0"/>
        <v>0</v>
      </c>
      <c r="BS26" s="31">
        <f t="shared" si="1"/>
        <v>0</v>
      </c>
    </row>
    <row r="27" spans="1:71" ht="15" thickBot="1">
      <c r="A27" s="9" t="str">
        <f>'DEZEMBRO-25'!A27</f>
        <v>CANETA PARA RETROPROJETOR PRETA</v>
      </c>
      <c r="B27" s="12">
        <f>'DEZEMBRO-25'!G27</f>
        <v>0</v>
      </c>
      <c r="C27" s="15">
        <f>'DEZEMBRO-25'!C27</f>
        <v>0</v>
      </c>
      <c r="D27" s="15">
        <f>'DEZEMBRO-25'!D27</f>
        <v>0</v>
      </c>
      <c r="E27" s="23"/>
      <c r="F27" s="22"/>
      <c r="G27" s="25" t="e">
        <f>#REF!+E27-F27-AM27</f>
        <v>#REF!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30">
        <f t="shared" si="0"/>
        <v>0</v>
      </c>
      <c r="BS27" s="31">
        <f t="shared" si="1"/>
        <v>0</v>
      </c>
    </row>
    <row r="28" spans="1:71" ht="15" thickBot="1">
      <c r="A28" s="9" t="str">
        <f>'DEZEMBRO-25'!A28</f>
        <v>CANETA PARA RETROPROJETOR VERMELHO</v>
      </c>
      <c r="B28" s="12">
        <f>'DEZEMBRO-25'!G28</f>
        <v>0</v>
      </c>
      <c r="C28" s="15">
        <f>'DEZEMBRO-25'!C28</f>
        <v>0</v>
      </c>
      <c r="D28" s="15">
        <f>'DEZEMBRO-25'!D28</f>
        <v>0</v>
      </c>
      <c r="E28" s="23"/>
      <c r="F28" s="22"/>
      <c r="G28" s="25" t="e">
        <f>#REF!+E28-F28-AM28</f>
        <v>#REF!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30">
        <f t="shared" si="0"/>
        <v>0</v>
      </c>
      <c r="BS28" s="31">
        <f t="shared" si="1"/>
        <v>0</v>
      </c>
    </row>
    <row r="29" spans="1:71" ht="15" thickBot="1">
      <c r="A29" s="9" t="str">
        <f>'DEZEMBRO-25'!A29</f>
        <v>CATETER PERIFÉRICO 14G</v>
      </c>
      <c r="B29" s="12">
        <f>'DEZEMBRO-25'!G29</f>
        <v>6</v>
      </c>
      <c r="C29" s="15" t="str">
        <f>'DEZEMBRO-25'!C29</f>
        <v>CX</v>
      </c>
      <c r="D29" s="15" t="str">
        <f>'DEZEMBRO-25'!D29</f>
        <v>C/100UN</v>
      </c>
      <c r="E29" s="23"/>
      <c r="F29" s="22"/>
      <c r="G29" s="25" t="e">
        <f>#REF!+E29-F29-AM29</f>
        <v>#REF!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>
        <f t="shared" si="0"/>
        <v>0</v>
      </c>
      <c r="BS29" s="31">
        <f t="shared" si="1"/>
        <v>0</v>
      </c>
    </row>
    <row r="30" spans="1:71" ht="15" thickBot="1">
      <c r="A30" s="9" t="str">
        <f>'DEZEMBRO-25'!A30</f>
        <v>CATETER PERIFÉRICO 20G</v>
      </c>
      <c r="B30" s="12">
        <f>'DEZEMBRO-25'!G30</f>
        <v>27</v>
      </c>
      <c r="C30" s="15" t="str">
        <f>'DEZEMBRO-25'!C30</f>
        <v>CX</v>
      </c>
      <c r="D30" s="15" t="str">
        <f>'DEZEMBRO-25'!D30</f>
        <v>C/100UN</v>
      </c>
      <c r="E30" s="23"/>
      <c r="F30" s="22"/>
      <c r="G30" s="25" t="e">
        <f>#REF!+E30-F30-AM30</f>
        <v>#REF!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30">
        <f t="shared" si="0"/>
        <v>0</v>
      </c>
      <c r="BS30" s="31">
        <f t="shared" si="1"/>
        <v>0</v>
      </c>
    </row>
    <row r="31" spans="1:71" ht="15" thickBot="1">
      <c r="A31" s="9" t="str">
        <f>'DEZEMBRO-25'!A31</f>
        <v>CATETER PERIFÉRICO 22G (PONTA AZUL)</v>
      </c>
      <c r="B31" s="12">
        <f>'DEZEMBRO-25'!G31</f>
        <v>49</v>
      </c>
      <c r="C31" s="15" t="str">
        <f>'DEZEMBRO-25'!C31</f>
        <v>CX</v>
      </c>
      <c r="D31" s="15" t="str">
        <f>'DEZEMBRO-25'!D31</f>
        <v>C/100UN</v>
      </c>
      <c r="E31" s="23"/>
      <c r="F31" s="22"/>
      <c r="G31" s="25" t="e">
        <f>#REF!+E31-F31-AM31</f>
        <v>#REF!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30">
        <f t="shared" si="0"/>
        <v>0</v>
      </c>
      <c r="BS31" s="31">
        <f t="shared" si="1"/>
        <v>0</v>
      </c>
    </row>
    <row r="32" spans="1:71" ht="15" thickBot="1">
      <c r="A32" s="9" t="str">
        <f>'DEZEMBRO-25'!A32</f>
        <v>CATETER PERIFÉRICO 24G</v>
      </c>
      <c r="B32" s="12">
        <f>'DEZEMBRO-25'!G32</f>
        <v>12</v>
      </c>
      <c r="C32" s="15" t="str">
        <f>'DEZEMBRO-25'!C32</f>
        <v>CX</v>
      </c>
      <c r="D32" s="15" t="str">
        <f>'DEZEMBRO-25'!D32</f>
        <v>C/100UN</v>
      </c>
      <c r="E32" s="23"/>
      <c r="F32" s="22"/>
      <c r="G32" s="25" t="e">
        <f>#REF!+E32-F32-AM32</f>
        <v>#REF!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30">
        <f t="shared" si="0"/>
        <v>0</v>
      </c>
      <c r="BS32" s="31">
        <f t="shared" si="1"/>
        <v>0</v>
      </c>
    </row>
    <row r="33" spans="1:71" ht="15" hidden="1" thickBot="1">
      <c r="A33" s="9" t="str">
        <f>'DEZEMBRO-25'!A33</f>
        <v>CLIPES N° 2 (p)</v>
      </c>
      <c r="B33" s="12">
        <f>'DEZEMBRO-25'!G33</f>
        <v>3</v>
      </c>
      <c r="C33" s="15" t="str">
        <f>'DEZEMBRO-25'!C33</f>
        <v>CX</v>
      </c>
      <c r="D33" s="15" t="str">
        <f>'DEZEMBRO-25'!D33</f>
        <v>QUANTIDADES VARIADAS</v>
      </c>
      <c r="E33" s="23"/>
      <c r="F33" s="22"/>
      <c r="G33" s="25" t="e">
        <f>#REF!+E33-F33-AM33</f>
        <v>#REF!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30">
        <f t="shared" si="0"/>
        <v>0</v>
      </c>
      <c r="BS33" s="31">
        <f t="shared" si="1"/>
        <v>0</v>
      </c>
    </row>
    <row r="34" spans="1:71" ht="15" hidden="1" thickBot="1">
      <c r="A34" s="9" t="str">
        <f>'DEZEMBRO-25'!A34</f>
        <v>CLIPES N° 6 (G)</v>
      </c>
      <c r="B34" s="12">
        <f>'DEZEMBRO-25'!G34</f>
        <v>7</v>
      </c>
      <c r="C34" s="15" t="str">
        <f>'DEZEMBRO-25'!C34</f>
        <v>CX</v>
      </c>
      <c r="D34" s="15" t="str">
        <f>'DEZEMBRO-25'!D34</f>
        <v>QUANTIDADES VARIADAS</v>
      </c>
      <c r="E34" s="23"/>
      <c r="F34" s="22"/>
      <c r="G34" s="25" t="e">
        <f>#REF!+E34-F34-AM34</f>
        <v>#REF!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30">
        <f t="shared" si="0"/>
        <v>0</v>
      </c>
      <c r="BS34" s="31">
        <f t="shared" si="1"/>
        <v>0</v>
      </c>
    </row>
    <row r="35" spans="1:71" ht="15" thickBot="1">
      <c r="A35" s="9" t="str">
        <f>'DEZEMBRO-25'!A35</f>
        <v>COADOR G</v>
      </c>
      <c r="B35" s="12">
        <f>'DEZEMBRO-25'!G35</f>
        <v>0</v>
      </c>
      <c r="C35" s="15">
        <f>'DEZEMBRO-25'!C35</f>
        <v>0</v>
      </c>
      <c r="D35" s="15">
        <f>'DEZEMBRO-25'!D35</f>
        <v>0</v>
      </c>
      <c r="E35" s="23"/>
      <c r="F35" s="22"/>
      <c r="G35" s="25" t="e">
        <f>#REF!+E35-F35-AM35</f>
        <v>#REF!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30">
        <f t="shared" si="0"/>
        <v>0</v>
      </c>
      <c r="BS35" s="31">
        <f t="shared" si="1"/>
        <v>0</v>
      </c>
    </row>
    <row r="36" spans="1:71" ht="15" thickBot="1">
      <c r="A36" s="9" t="str">
        <f>'DEZEMBRO-25'!A36</f>
        <v>COADOR M</v>
      </c>
      <c r="B36" s="12">
        <f>'DEZEMBRO-25'!G36</f>
        <v>0</v>
      </c>
      <c r="C36" s="15">
        <f>'DEZEMBRO-25'!C36</f>
        <v>0</v>
      </c>
      <c r="D36" s="15">
        <f>'DEZEMBRO-25'!D36</f>
        <v>0</v>
      </c>
      <c r="E36" s="23"/>
      <c r="F36" s="22"/>
      <c r="G36" s="25" t="e">
        <f>#REF!+E36-F36-AM36</f>
        <v>#REF!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30">
        <f t="shared" si="0"/>
        <v>0</v>
      </c>
      <c r="BS36" s="31">
        <f t="shared" si="1"/>
        <v>0</v>
      </c>
    </row>
    <row r="37" spans="1:71" ht="15" thickBot="1">
      <c r="A37" s="9" t="str">
        <f>'DEZEMBRO-25'!A37</f>
        <v>COLAR CERVICAL MÉDIO</v>
      </c>
      <c r="B37" s="12">
        <f>'DEZEMBRO-25'!G37</f>
        <v>0</v>
      </c>
      <c r="C37" s="15">
        <f>'DEZEMBRO-25'!C37</f>
        <v>0</v>
      </c>
      <c r="D37" s="15" t="str">
        <f>'DEZEMBRO-25'!D37</f>
        <v>VER COM ZÉ MARIA</v>
      </c>
      <c r="E37" s="23"/>
      <c r="F37" s="22"/>
      <c r="G37" s="25" t="e">
        <f>#REF!+E37-F37-AM37</f>
        <v>#REF!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30">
        <f t="shared" si="0"/>
        <v>0</v>
      </c>
      <c r="BS37" s="31">
        <f t="shared" si="1"/>
        <v>0</v>
      </c>
    </row>
    <row r="38" spans="1:71" ht="15" thickBot="1">
      <c r="A38" s="9" t="str">
        <f>'DEZEMBRO-25'!A38</f>
        <v>COMPRESSA DE GAZE (PCTO)</v>
      </c>
      <c r="B38" s="12" t="e">
        <f>'DEZEMBRO-25'!G38</f>
        <v>#VALUE!</v>
      </c>
      <c r="C38" s="15" t="str">
        <f>'DEZEMBRO-25'!C38</f>
        <v>TEM MUITO</v>
      </c>
      <c r="D38" s="15" t="str">
        <f>'DEZEMBRO-25'!D38</f>
        <v>TEM MUITO</v>
      </c>
      <c r="E38" s="23"/>
      <c r="F38" s="22"/>
      <c r="G38" s="25" t="e">
        <f>#REF!+E38-F38-AM38</f>
        <v>#REF!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30">
        <f t="shared" si="0"/>
        <v>0</v>
      </c>
      <c r="BS38" s="31">
        <f t="shared" si="1"/>
        <v>0</v>
      </c>
    </row>
    <row r="39" spans="1:71" ht="15" thickBot="1">
      <c r="A39" s="9" t="str">
        <f>'DEZEMBRO-25'!A39</f>
        <v>COMPRESSA DE GAZE 7.5x7.5cm (estéreo)</v>
      </c>
      <c r="B39" s="12">
        <f>'DEZEMBRO-25'!G39</f>
        <v>450</v>
      </c>
      <c r="C39" s="15" t="str">
        <f>'DEZEMBRO-25'!C39</f>
        <v>UND</v>
      </c>
      <c r="D39" s="15" t="str">
        <f>'DEZEMBRO-25'!D39</f>
        <v>COMPRA</v>
      </c>
      <c r="E39" s="23"/>
      <c r="F39" s="22"/>
      <c r="G39" s="25" t="e">
        <f>#REF!+E39-F39-AM39</f>
        <v>#REF!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30">
        <f t="shared" si="0"/>
        <v>0</v>
      </c>
      <c r="BS39" s="31">
        <f t="shared" si="1"/>
        <v>0</v>
      </c>
    </row>
    <row r="40" spans="1:71" ht="15" thickBot="1">
      <c r="A40" s="9" t="str">
        <f>'DEZEMBRO-25'!A40</f>
        <v>COPO DESCARTÁVEL</v>
      </c>
      <c r="B40" s="12" t="e">
        <f>'DEZEMBRO-25'!G40</f>
        <v>#VALUE!</v>
      </c>
      <c r="C40" s="15" t="str">
        <f>'DEZEMBRO-25'!C40</f>
        <v>TEM MUITO</v>
      </c>
      <c r="D40" s="15" t="str">
        <f>'DEZEMBRO-25'!D40</f>
        <v>TEM MUITO</v>
      </c>
      <c r="E40" s="23"/>
      <c r="F40" s="22"/>
      <c r="G40" s="25" t="e">
        <f>#REF!+E40-F40-AM40</f>
        <v>#REF!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30">
        <f t="shared" si="0"/>
        <v>0</v>
      </c>
      <c r="BS40" s="31">
        <f t="shared" si="1"/>
        <v>0</v>
      </c>
    </row>
    <row r="41" spans="1:71" ht="15" hidden="1" thickBot="1">
      <c r="A41" s="9" t="str">
        <f>'DEZEMBRO-25'!A41</f>
        <v>CORRETIVO LÍQUIDO</v>
      </c>
      <c r="B41" s="12">
        <f>'DEZEMBRO-25'!G41</f>
        <v>15</v>
      </c>
      <c r="C41" s="15" t="str">
        <f>'DEZEMBRO-25'!C41</f>
        <v>UND</v>
      </c>
      <c r="D41" s="15" t="str">
        <f>'DEZEMBRO-25'!D41</f>
        <v>SEM OBSERVAÇÃO</v>
      </c>
      <c r="E41" s="23"/>
      <c r="F41" s="22"/>
      <c r="G41" s="25" t="e">
        <f>#REF!+E41-F41-AM41</f>
        <v>#REF!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30">
        <f t="shared" si="0"/>
        <v>0</v>
      </c>
      <c r="BS41" s="31">
        <f t="shared" si="1"/>
        <v>0</v>
      </c>
    </row>
    <row r="42" spans="1:71" ht="15" thickBot="1">
      <c r="A42" s="9" t="str">
        <f>'DEZEMBRO-25'!A42</f>
        <v>DESINFETANTE</v>
      </c>
      <c r="B42" s="12">
        <f>'DEZEMBRO-25'!G42</f>
        <v>270</v>
      </c>
      <c r="C42" s="15" t="str">
        <f>'DEZEMBRO-25'!C42</f>
        <v>UND</v>
      </c>
      <c r="D42" s="15" t="str">
        <f>'DEZEMBRO-25'!D42</f>
        <v>2L</v>
      </c>
      <c r="E42" s="23"/>
      <c r="F42" s="22"/>
      <c r="G42" s="25" t="e">
        <f>#REF!+E42-F42-AM42</f>
        <v>#REF!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30">
        <f t="shared" si="0"/>
        <v>0</v>
      </c>
      <c r="BS42" s="31">
        <f t="shared" si="1"/>
        <v>0</v>
      </c>
    </row>
    <row r="43" spans="1:71" ht="15" hidden="1" thickBot="1">
      <c r="A43" s="9" t="str">
        <f>'DEZEMBRO-25'!A43</f>
        <v>DETERGENTE</v>
      </c>
      <c r="B43" s="12">
        <f>'DEZEMBRO-25'!G43</f>
        <v>451</v>
      </c>
      <c r="C43" s="15" t="str">
        <f>'DEZEMBRO-25'!C43</f>
        <v>UND</v>
      </c>
      <c r="D43" s="15" t="str">
        <f>'DEZEMBRO-25'!D43</f>
        <v>APROXIMADO</v>
      </c>
      <c r="E43" s="23"/>
      <c r="F43" s="22"/>
      <c r="G43" s="25" t="e">
        <f>#REF!+E43-F43-AM43</f>
        <v>#REF!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30">
        <f t="shared" si="0"/>
        <v>0</v>
      </c>
      <c r="BS43" s="31">
        <f t="shared" si="1"/>
        <v>0</v>
      </c>
    </row>
    <row r="44" spans="1:71" ht="15" thickBot="1">
      <c r="A44" s="9" t="str">
        <f>'DEZEMBRO-25'!A44</f>
        <v>ELÁSTICA</v>
      </c>
      <c r="B44" s="12" t="e">
        <f>'DEZEMBRO-25'!G44</f>
        <v>#VALUE!</v>
      </c>
      <c r="C44" s="15" t="str">
        <f>'DEZEMBRO-25'!C44</f>
        <v>TEM MUITO</v>
      </c>
      <c r="D44" s="15" t="str">
        <f>'DEZEMBRO-25'!D44</f>
        <v>TEM MUITO</v>
      </c>
      <c r="E44" s="23"/>
      <c r="F44" s="22"/>
      <c r="G44" s="25" t="e">
        <f>#REF!+E44-F44-AM44</f>
        <v>#REF!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>
        <f t="shared" si="0"/>
        <v>0</v>
      </c>
      <c r="BS44" s="31">
        <f t="shared" si="1"/>
        <v>0</v>
      </c>
    </row>
    <row r="45" spans="1:71" ht="15" hidden="1" thickBot="1">
      <c r="A45" s="9" t="str">
        <f>'DEZEMBRO-25'!A45</f>
        <v>ELETRODO 5/50</v>
      </c>
      <c r="B45" s="12">
        <f>'DEZEMBRO-25'!G45</f>
        <v>20</v>
      </c>
      <c r="C45" s="15" t="str">
        <f>'DEZEMBRO-25'!C45</f>
        <v>PCT</v>
      </c>
      <c r="D45" s="15" t="str">
        <f>'DEZEMBRO-25'!D45</f>
        <v>C/50UN</v>
      </c>
      <c r="E45" s="23"/>
      <c r="F45" s="22"/>
      <c r="G45" s="25" t="e">
        <f>#REF!+E45-F45-AM45</f>
        <v>#REF!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>
        <f t="shared" si="0"/>
        <v>0</v>
      </c>
      <c r="BS45" s="31">
        <f t="shared" si="1"/>
        <v>0</v>
      </c>
    </row>
    <row r="46" spans="1:71" ht="15" thickBot="1">
      <c r="A46" s="9" t="str">
        <f>'DEZEMBRO-25'!A46</f>
        <v>ENVELOPE A4</v>
      </c>
      <c r="B46" s="12" t="e">
        <f>'DEZEMBRO-25'!G46</f>
        <v>#VALUE!</v>
      </c>
      <c r="C46" s="15" t="str">
        <f>'DEZEMBRO-25'!C46</f>
        <v>TEM MUITO</v>
      </c>
      <c r="D46" s="15" t="str">
        <f>'DEZEMBRO-25'!D46</f>
        <v>TEM MUITO</v>
      </c>
      <c r="E46" s="23"/>
      <c r="F46" s="22"/>
      <c r="G46" s="25" t="e">
        <f>#REF!+E46-F46-AM46</f>
        <v>#REF!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30">
        <f t="shared" si="0"/>
        <v>0</v>
      </c>
      <c r="BS46" s="31">
        <f t="shared" si="1"/>
        <v>0</v>
      </c>
    </row>
    <row r="47" spans="1:71" ht="15" thickBot="1">
      <c r="A47" s="9" t="str">
        <f>'DEZEMBRO-25'!A47</f>
        <v>EQUIPO DE NUTRIÇÃO ENTERAL</v>
      </c>
      <c r="B47" s="12">
        <f>'DEZEMBRO-25'!G47</f>
        <v>10</v>
      </c>
      <c r="C47" s="15" t="str">
        <f>'DEZEMBRO-25'!C47</f>
        <v>PCT</v>
      </c>
      <c r="D47" s="15" t="str">
        <f>'DEZEMBRO-25'!D47</f>
        <v>C/20 UM</v>
      </c>
      <c r="E47" s="23"/>
      <c r="F47" s="22"/>
      <c r="G47" s="25" t="e">
        <f>#REF!+E47-F47-AM47</f>
        <v>#REF!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30">
        <f t="shared" si="0"/>
        <v>0</v>
      </c>
      <c r="BS47" s="31">
        <f t="shared" si="1"/>
        <v>0</v>
      </c>
    </row>
    <row r="48" spans="1:71" ht="15" thickBot="1">
      <c r="A48" s="9" t="str">
        <f>'DEZEMBRO-25'!A48</f>
        <v>EQUIPO MACROGOTAS-COMPLETO</v>
      </c>
      <c r="B48" s="12">
        <f>'DEZEMBRO-25'!G48</f>
        <v>1900</v>
      </c>
      <c r="C48" s="15" t="str">
        <f>'DEZEMBRO-25'!C48</f>
        <v>UND</v>
      </c>
      <c r="D48" s="15" t="str">
        <f>'DEZEMBRO-25'!D48</f>
        <v>DE COLOCAR SORO</v>
      </c>
      <c r="E48" s="23"/>
      <c r="F48" s="22"/>
      <c r="G48" s="25" t="e">
        <f>#REF!+E48-F48-AM48</f>
        <v>#REF!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30">
        <f t="shared" si="0"/>
        <v>0</v>
      </c>
      <c r="BS48" s="31">
        <f t="shared" si="1"/>
        <v>0</v>
      </c>
    </row>
    <row r="49" spans="1:71" ht="15" thickBot="1">
      <c r="A49" s="9" t="str">
        <f>'DEZEMBRO-25'!A49</f>
        <v>EQUIPO MICRO C/ BURETA</v>
      </c>
      <c r="B49" s="12">
        <f>'DEZEMBRO-25'!G49</f>
        <v>300</v>
      </c>
      <c r="C49" s="15" t="str">
        <f>'DEZEMBRO-25'!C49</f>
        <v>UND</v>
      </c>
      <c r="D49" s="15" t="str">
        <f>'DEZEMBRO-25'!D49</f>
        <v>OLHAR COM ZE MARIA</v>
      </c>
      <c r="E49" s="23"/>
      <c r="F49" s="22"/>
      <c r="G49" s="25" t="e">
        <f>#REF!+E49-F49-AM49</f>
        <v>#REF!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0">
        <f t="shared" si="0"/>
        <v>0</v>
      </c>
      <c r="BS49" s="31">
        <f t="shared" si="1"/>
        <v>0</v>
      </c>
    </row>
    <row r="50" spans="1:71" ht="15" thickBot="1">
      <c r="A50" s="9" t="str">
        <f>'DEZEMBRO-25'!A50</f>
        <v>EQUIPO MULTIVIAS C/CLAMP</v>
      </c>
      <c r="B50" s="12">
        <f>'DEZEMBRO-25'!G50</f>
        <v>245</v>
      </c>
      <c r="C50" s="15" t="str">
        <f>'DEZEMBRO-25'!C50</f>
        <v>UND</v>
      </c>
      <c r="D50" s="15" t="str">
        <f>'DEZEMBRO-25'!D50</f>
        <v>DEPENTEDA SITUAÇÃO</v>
      </c>
      <c r="E50" s="23"/>
      <c r="F50" s="22"/>
      <c r="G50" s="25" t="e">
        <f>#REF!+E50-F50-AM50</f>
        <v>#REF!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30">
        <f t="shared" si="0"/>
        <v>0</v>
      </c>
      <c r="BS50" s="31">
        <f t="shared" si="1"/>
        <v>0</v>
      </c>
    </row>
    <row r="51" spans="1:71" ht="15" thickBot="1">
      <c r="A51" s="9" t="str">
        <f>'DEZEMBRO-25'!A51</f>
        <v>EQUIPO TORNEIRA 3 VIAS LUER SIMPLES</v>
      </c>
      <c r="B51" s="12">
        <f>'DEZEMBRO-25'!G51</f>
        <v>0</v>
      </c>
      <c r="C51" s="15">
        <f>'DEZEMBRO-25'!C51</f>
        <v>0</v>
      </c>
      <c r="D51" s="15">
        <f>'DEZEMBRO-25'!D51</f>
        <v>0</v>
      </c>
      <c r="E51" s="23"/>
      <c r="F51" s="22"/>
      <c r="G51" s="25" t="e">
        <f>#REF!+E51-F51-AM51</f>
        <v>#REF!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30">
        <f t="shared" si="0"/>
        <v>0</v>
      </c>
      <c r="BS51" s="31">
        <f t="shared" si="1"/>
        <v>0</v>
      </c>
    </row>
    <row r="52" spans="1:71" ht="15" thickBot="1">
      <c r="A52" s="9" t="str">
        <f>'DEZEMBRO-25'!A52</f>
        <v>ESCOVA DE LAVAR</v>
      </c>
      <c r="B52" s="12">
        <f>'DEZEMBRO-25'!G52</f>
        <v>0</v>
      </c>
      <c r="C52" s="15">
        <f>'DEZEMBRO-25'!C52</f>
        <v>0</v>
      </c>
      <c r="D52" s="15">
        <f>'DEZEMBRO-25'!D52</f>
        <v>0</v>
      </c>
      <c r="E52" s="23"/>
      <c r="F52" s="22"/>
      <c r="G52" s="25" t="e">
        <f>#REF!+E52-F52-AM52</f>
        <v>#REF!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0">
        <f t="shared" si="0"/>
        <v>0</v>
      </c>
      <c r="BS52" s="31">
        <f t="shared" si="1"/>
        <v>0</v>
      </c>
    </row>
    <row r="53" spans="1:71" ht="15" thickBot="1">
      <c r="A53" s="9" t="str">
        <f>'DEZEMBRO-25'!A53</f>
        <v>ESPARADRAPOS 10CMX4.5</v>
      </c>
      <c r="B53" s="12">
        <f>'DEZEMBRO-25'!G53</f>
        <v>221</v>
      </c>
      <c r="C53" s="15" t="str">
        <f>'DEZEMBRO-25'!C53</f>
        <v>UND</v>
      </c>
      <c r="D53" s="15" t="str">
        <f>'DEZEMBRO-25'!D53</f>
        <v>SAI MUITO</v>
      </c>
      <c r="E53" s="23"/>
      <c r="F53" s="22"/>
      <c r="G53" s="25" t="e">
        <f>#REF!+E53-F53-AM53</f>
        <v>#REF!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30">
        <f t="shared" si="0"/>
        <v>0</v>
      </c>
      <c r="BS53" s="31">
        <f t="shared" si="1"/>
        <v>0</v>
      </c>
    </row>
    <row r="54" spans="1:71" ht="15" thickBot="1">
      <c r="A54" s="9" t="str">
        <f>'DEZEMBRO-25'!A54</f>
        <v>ESPARADRAPOS 5CMX4.5</v>
      </c>
      <c r="B54" s="12">
        <f>'DEZEMBRO-25'!G54</f>
        <v>108</v>
      </c>
      <c r="C54" s="15" t="str">
        <f>'DEZEMBRO-25'!C54</f>
        <v>UND</v>
      </c>
      <c r="D54" s="15" t="str">
        <f>'DEZEMBRO-25'!D54</f>
        <v>SAIDA REGULAR</v>
      </c>
      <c r="E54" s="23"/>
      <c r="F54" s="22"/>
      <c r="G54" s="25" t="e">
        <f>#REF!+E54-F54-AM54</f>
        <v>#REF!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30">
        <f t="shared" si="0"/>
        <v>0</v>
      </c>
      <c r="BS54" s="31">
        <f t="shared" si="1"/>
        <v>0</v>
      </c>
    </row>
    <row r="55" spans="1:71" ht="15" thickBot="1">
      <c r="A55" s="9" t="str">
        <f>'DEZEMBRO-25'!A55</f>
        <v>ESTERELIZADO 35%</v>
      </c>
      <c r="B55" s="12" t="e">
        <f>'DEZEMBRO-25'!G55</f>
        <v>#VALUE!</v>
      </c>
      <c r="C55" s="15" t="str">
        <f>'DEZEMBRO-25'!C55</f>
        <v>TEM MUITO</v>
      </c>
      <c r="D55" s="15" t="str">
        <f>'DEZEMBRO-25'!D55</f>
        <v>TEM MUITO</v>
      </c>
      <c r="E55" s="23"/>
      <c r="F55" s="22"/>
      <c r="G55" s="25" t="e">
        <f>#REF!+E55-F55-AM55</f>
        <v>#REF!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30">
        <f t="shared" si="0"/>
        <v>0</v>
      </c>
      <c r="BS55" s="31">
        <f t="shared" si="1"/>
        <v>0</v>
      </c>
    </row>
    <row r="56" spans="1:71" ht="15" thickBot="1">
      <c r="A56" s="9" t="str">
        <f>'DEZEMBRO-25'!A56</f>
        <v>ESTILETE C/12 LÂMINA MAIOR</v>
      </c>
      <c r="B56" s="12">
        <f>'DEZEMBRO-25'!G56</f>
        <v>28</v>
      </c>
      <c r="C56" s="15" t="str">
        <f>'DEZEMBRO-25'!C56</f>
        <v>UND</v>
      </c>
      <c r="D56" s="15" t="str">
        <f>'DEZEMBRO-25'!D56</f>
        <v>NÃO SAI</v>
      </c>
      <c r="E56" s="23"/>
      <c r="F56" s="22"/>
      <c r="G56" s="25" t="e">
        <f>#REF!+E56-F56-AM56</f>
        <v>#REF!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30">
        <f t="shared" si="0"/>
        <v>0</v>
      </c>
      <c r="BS56" s="31">
        <f t="shared" si="1"/>
        <v>0</v>
      </c>
    </row>
    <row r="57" spans="1:71" ht="15" thickBot="1">
      <c r="A57" s="9" t="str">
        <f>'DEZEMBRO-25'!A57</f>
        <v>EXTRATOR DE GRAMPO C/12</v>
      </c>
      <c r="B57" s="12" t="e">
        <f>'DEZEMBRO-25'!G57</f>
        <v>#VALUE!</v>
      </c>
      <c r="C57" s="15" t="str">
        <f>'DEZEMBRO-25'!C57</f>
        <v>UND</v>
      </c>
      <c r="D57" s="15" t="str">
        <f>'DEZEMBRO-25'!D57</f>
        <v>NÃO SAI</v>
      </c>
      <c r="E57" s="23"/>
      <c r="F57" s="22"/>
      <c r="G57" s="25" t="e">
        <f>#REF!+E57-F57-AM57</f>
        <v>#REF!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30">
        <f t="shared" si="0"/>
        <v>0</v>
      </c>
      <c r="BS57" s="31">
        <f t="shared" si="1"/>
        <v>0</v>
      </c>
    </row>
    <row r="58" spans="1:71" ht="15" thickBot="1">
      <c r="A58" s="9" t="str">
        <f>'DEZEMBRO-25'!A58</f>
        <v>FITA CIRÚRGICA MICROPOROSA 05CM</v>
      </c>
      <c r="B58" s="12">
        <f>'DEZEMBRO-25'!G58</f>
        <v>324</v>
      </c>
      <c r="C58" s="15" t="str">
        <f>'DEZEMBRO-25'!C58</f>
        <v>UND</v>
      </c>
      <c r="D58" s="15" t="str">
        <f>'DEZEMBRO-25'!D58</f>
        <v>SAIDA REGULAR</v>
      </c>
      <c r="E58" s="23"/>
      <c r="F58" s="22"/>
      <c r="G58" s="25" t="e">
        <f>#REF!+E58-F58-AM58</f>
        <v>#REF!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30">
        <f t="shared" si="0"/>
        <v>0</v>
      </c>
      <c r="BS58" s="31">
        <f t="shared" si="1"/>
        <v>0</v>
      </c>
    </row>
    <row r="59" spans="1:71" ht="15" thickBot="1">
      <c r="A59" s="9" t="str">
        <f>'DEZEMBRO-25'!A59</f>
        <v>FITA CIRÚRGICA MICROPOROSA 10CM</v>
      </c>
      <c r="B59" s="12">
        <f>'DEZEMBRO-25'!G59</f>
        <v>0</v>
      </c>
      <c r="C59" s="15" t="str">
        <f>'DEZEMBRO-25'!C59</f>
        <v>UND</v>
      </c>
      <c r="D59" s="15" t="str">
        <f>'DEZEMBRO-25'!D59</f>
        <v>SAI MUITO</v>
      </c>
      <c r="E59" s="23"/>
      <c r="F59" s="22"/>
      <c r="G59" s="25" t="e">
        <f>#REF!+E59-F59-AM59</f>
        <v>#REF!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30">
        <f t="shared" si="0"/>
        <v>0</v>
      </c>
      <c r="BS59" s="31">
        <f t="shared" si="1"/>
        <v>0</v>
      </c>
    </row>
    <row r="60" spans="1:71" ht="15" thickBot="1">
      <c r="A60" s="9" t="str">
        <f>'DEZEMBRO-25'!A60</f>
        <v>FITA CREPE</v>
      </c>
      <c r="B60" s="12">
        <f>'DEZEMBRO-25'!G60</f>
        <v>0</v>
      </c>
      <c r="C60" s="15">
        <f>'DEZEMBRO-25'!C60</f>
        <v>0</v>
      </c>
      <c r="D60" s="15" t="str">
        <f>'DEZEMBRO-25'!D60</f>
        <v>FICAR DE OLHO</v>
      </c>
      <c r="E60" s="23"/>
      <c r="F60" s="22"/>
      <c r="G60" s="25" t="e">
        <f>#REF!+E60-F60-AM60</f>
        <v>#REF!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30">
        <f t="shared" si="0"/>
        <v>0</v>
      </c>
      <c r="BS60" s="31">
        <f t="shared" si="1"/>
        <v>0</v>
      </c>
    </row>
    <row r="61" spans="1:71" ht="15" thickBot="1">
      <c r="A61" s="9" t="str">
        <f>'DEZEMBRO-25'!A61</f>
        <v>FITA DUPLAFACE</v>
      </c>
      <c r="B61" s="12">
        <f>'DEZEMBRO-25'!G61</f>
        <v>0</v>
      </c>
      <c r="C61" s="15">
        <f>'DEZEMBRO-25'!C61</f>
        <v>0</v>
      </c>
      <c r="D61" s="15">
        <f>'DEZEMBRO-25'!D61</f>
        <v>0</v>
      </c>
      <c r="E61" s="23"/>
      <c r="F61" s="22"/>
      <c r="G61" s="25" t="e">
        <f>#REF!+E61-F61-AM61</f>
        <v>#REF!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30">
        <f t="shared" si="0"/>
        <v>0</v>
      </c>
      <c r="BS61" s="31">
        <f t="shared" si="1"/>
        <v>0</v>
      </c>
    </row>
    <row r="62" spans="1:71" ht="15" thickBot="1">
      <c r="A62" s="9" t="str">
        <f>'DEZEMBRO-25'!A62</f>
        <v>FITA DUREX LARGA</v>
      </c>
      <c r="B62" s="12">
        <f>'DEZEMBRO-25'!G62</f>
        <v>0</v>
      </c>
      <c r="C62" s="15">
        <f>'DEZEMBRO-25'!C62</f>
        <v>0</v>
      </c>
      <c r="D62" s="15">
        <f>'DEZEMBRO-25'!D62</f>
        <v>0</v>
      </c>
      <c r="E62" s="23"/>
      <c r="F62" s="22"/>
      <c r="G62" s="25" t="e">
        <f>#REF!+E62-F62-AM62</f>
        <v>#REF!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30">
        <f t="shared" si="0"/>
        <v>0</v>
      </c>
      <c r="BS62" s="31">
        <f t="shared" si="1"/>
        <v>0</v>
      </c>
    </row>
    <row r="63" spans="1:71" ht="15" thickBot="1">
      <c r="A63" s="9" t="str">
        <f>'DEZEMBRO-25'!A63</f>
        <v>FITA MÉTRICA</v>
      </c>
      <c r="B63" s="12">
        <f>'DEZEMBRO-25'!G63</f>
        <v>0</v>
      </c>
      <c r="C63" s="15">
        <f>'DEZEMBRO-25'!C63</f>
        <v>0</v>
      </c>
      <c r="D63" s="15">
        <f>'DEZEMBRO-25'!D63</f>
        <v>0</v>
      </c>
      <c r="E63" s="23"/>
      <c r="F63" s="22"/>
      <c r="G63" s="25" t="e">
        <f>#REF!+E63-F63-AM63</f>
        <v>#REF!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30">
        <f t="shared" si="0"/>
        <v>0</v>
      </c>
      <c r="BS63" s="31">
        <f t="shared" si="1"/>
        <v>0</v>
      </c>
    </row>
    <row r="64" spans="1:71" ht="15" thickBot="1">
      <c r="A64" s="9" t="str">
        <f>'DEZEMBRO-25'!A64</f>
        <v>FLANELA</v>
      </c>
      <c r="B64" s="12">
        <f>'DEZEMBRO-25'!G64</f>
        <v>0</v>
      </c>
      <c r="C64" s="15">
        <f>'DEZEMBRO-25'!C64</f>
        <v>0</v>
      </c>
      <c r="D64" s="15">
        <f>'DEZEMBRO-25'!D64</f>
        <v>0</v>
      </c>
      <c r="E64" s="23"/>
      <c r="F64" s="22"/>
      <c r="G64" s="25" t="e">
        <f>#REF!+E64-F64-AM64</f>
        <v>#REF!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>
        <f t="shared" si="0"/>
        <v>0</v>
      </c>
      <c r="BS64" s="31">
        <f t="shared" si="1"/>
        <v>0</v>
      </c>
    </row>
    <row r="65" spans="1:71" ht="15" thickBot="1">
      <c r="A65" s="9" t="str">
        <f>'DEZEMBRO-25'!A65</f>
        <v>GRAMPEADOR</v>
      </c>
      <c r="B65" s="12">
        <f>'DEZEMBRO-25'!G65</f>
        <v>0</v>
      </c>
      <c r="C65" s="15">
        <f>'DEZEMBRO-25'!C65</f>
        <v>0</v>
      </c>
      <c r="D65" s="15">
        <f>'DEZEMBRO-25'!D65</f>
        <v>0</v>
      </c>
      <c r="E65" s="23"/>
      <c r="F65" s="22"/>
      <c r="G65" s="25" t="e">
        <f>#REF!+E65-F65-AM65</f>
        <v>#REF!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30">
        <f t="shared" si="0"/>
        <v>0</v>
      </c>
      <c r="BS65" s="31">
        <f t="shared" si="1"/>
        <v>0</v>
      </c>
    </row>
    <row r="66" spans="1:71" ht="15" thickBot="1">
      <c r="A66" s="9" t="str">
        <f>'DEZEMBRO-25'!A66</f>
        <v>GRAMPO 26/6</v>
      </c>
      <c r="B66" s="12">
        <f>'DEZEMBRO-25'!G66</f>
        <v>25</v>
      </c>
      <c r="C66" s="15" t="str">
        <f>'DEZEMBRO-25'!C66</f>
        <v>CX</v>
      </c>
      <c r="D66" s="15" t="str">
        <f>'DEZEMBRO-25'!D66</f>
        <v>NÃO SAI</v>
      </c>
      <c r="E66" s="23"/>
      <c r="F66" s="22"/>
      <c r="G66" s="25" t="e">
        <f>#REF!+E66-F66-AM66</f>
        <v>#REF!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30">
        <f t="shared" si="0"/>
        <v>0</v>
      </c>
      <c r="BS66" s="31">
        <f t="shared" si="1"/>
        <v>0</v>
      </c>
    </row>
    <row r="67" spans="1:71" ht="15" thickBot="1">
      <c r="A67" s="9" t="str">
        <f>'DEZEMBRO-25'!A67</f>
        <v>JALECO DESCARTÁVEL MANGA LONGA</v>
      </c>
      <c r="B67" s="12">
        <f>'DEZEMBRO-25'!G67</f>
        <v>0</v>
      </c>
      <c r="C67" s="15">
        <f>'DEZEMBRO-25'!C67</f>
        <v>0</v>
      </c>
      <c r="D67" s="15">
        <f>'DEZEMBRO-25'!D67</f>
        <v>0</v>
      </c>
      <c r="E67" s="23"/>
      <c r="F67" s="22"/>
      <c r="G67" s="25" t="e">
        <f>#REF!+E67-F67-AM67</f>
        <v>#REF!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>
        <f t="shared" si="0"/>
        <v>0</v>
      </c>
      <c r="BS67" s="31">
        <f t="shared" si="1"/>
        <v>0</v>
      </c>
    </row>
    <row r="68" spans="1:71" ht="15" thickBot="1">
      <c r="A68" s="9" t="str">
        <f>'DEZEMBRO-25'!A68</f>
        <v>LÂMPADA</v>
      </c>
      <c r="B68" s="12">
        <f>'DEZEMBRO-25'!G68</f>
        <v>25</v>
      </c>
      <c r="C68" s="15" t="str">
        <f>'DEZEMBRO-25'!C68</f>
        <v>UND</v>
      </c>
      <c r="D68" s="15" t="str">
        <f>'DEZEMBRO-25'!D68</f>
        <v>SAIDA REGULAR</v>
      </c>
      <c r="E68" s="23"/>
      <c r="F68" s="22"/>
      <c r="G68" s="25" t="e">
        <f>#REF!+E68-F68-AM68</f>
        <v>#REF!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30">
        <f t="shared" ref="AM68:AM112" si="2">SUM(H68:AL68)</f>
        <v>0</v>
      </c>
      <c r="BS68" s="31">
        <f t="shared" ref="BS68:BS112" si="3">SUM(AN68:BR68)</f>
        <v>0</v>
      </c>
    </row>
    <row r="69" spans="1:71" ht="15" thickBot="1">
      <c r="A69" s="9" t="str">
        <f>'DEZEMBRO-25'!A69</f>
        <v>LIXEIRA COM TAMPA E PEDAL 10LT</v>
      </c>
      <c r="B69" s="12">
        <f>'DEZEMBRO-25'!G69</f>
        <v>0</v>
      </c>
      <c r="C69" s="15">
        <f>'DEZEMBRO-25'!C69</f>
        <v>0</v>
      </c>
      <c r="D69" s="15">
        <f>'DEZEMBRO-25'!D69</f>
        <v>0</v>
      </c>
      <c r="E69" s="23"/>
      <c r="F69" s="22"/>
      <c r="G69" s="25" t="e">
        <f>#REF!+E69-F69-AM69</f>
        <v>#REF!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30">
        <f t="shared" si="2"/>
        <v>0</v>
      </c>
      <c r="BS69" s="31">
        <f t="shared" si="3"/>
        <v>0</v>
      </c>
    </row>
    <row r="70" spans="1:71" ht="15" thickBot="1">
      <c r="A70" s="9" t="str">
        <f>'DEZEMBRO-25'!A70</f>
        <v>LUVA N/ESTÉRIL G</v>
      </c>
      <c r="B70" s="12" t="e">
        <f>'DEZEMBRO-25'!G70</f>
        <v>#VALUE!</v>
      </c>
      <c r="C70" s="15" t="str">
        <f>'DEZEMBRO-25'!C70</f>
        <v>TEM MUITO</v>
      </c>
      <c r="D70" s="15" t="str">
        <f>'DEZEMBRO-25'!D70</f>
        <v>TEM MUITO</v>
      </c>
      <c r="E70" s="23"/>
      <c r="F70" s="22"/>
      <c r="G70" s="25" t="e">
        <f>#REF!+E70-F70-AM70</f>
        <v>#REF!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0">
        <f t="shared" si="2"/>
        <v>0</v>
      </c>
      <c r="BS70" s="31">
        <f t="shared" si="3"/>
        <v>0</v>
      </c>
    </row>
    <row r="71" spans="1:71" ht="15" thickBot="1">
      <c r="A71" s="9" t="str">
        <f>'DEZEMBRO-25'!A71</f>
        <v>LUVA N/ESTÉRIL M</v>
      </c>
      <c r="B71" s="12">
        <f>'DEZEMBRO-25'!G71</f>
        <v>150</v>
      </c>
      <c r="C71" s="15" t="str">
        <f>'DEZEMBRO-25'!C71</f>
        <v>UND</v>
      </c>
      <c r="D71" s="15" t="str">
        <f>'DEZEMBRO-25'!D71</f>
        <v>SAI MUITO</v>
      </c>
      <c r="E71" s="23"/>
      <c r="F71" s="22"/>
      <c r="G71" s="25" t="e">
        <f>#REF!+E71-F71-AM71</f>
        <v>#REF!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0">
        <f t="shared" si="2"/>
        <v>0</v>
      </c>
      <c r="BS71" s="31">
        <f t="shared" si="3"/>
        <v>0</v>
      </c>
    </row>
    <row r="72" spans="1:71" ht="15" thickBot="1">
      <c r="A72" s="9" t="str">
        <f>'DEZEMBRO-25'!A72</f>
        <v>LUVA N/ESTÉRIL P</v>
      </c>
      <c r="B72" s="12" t="e">
        <f>'DEZEMBRO-25'!G72</f>
        <v>#VALUE!</v>
      </c>
      <c r="C72" s="15" t="str">
        <f>'DEZEMBRO-25'!C72</f>
        <v>TEM MUITO</v>
      </c>
      <c r="D72" s="15" t="str">
        <f>'DEZEMBRO-25'!D72</f>
        <v>TEM MUITO</v>
      </c>
      <c r="E72" s="23"/>
      <c r="F72" s="22"/>
      <c r="G72" s="25" t="e">
        <f>#REF!+E72-F72-AM72</f>
        <v>#REF!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30">
        <f t="shared" si="2"/>
        <v>0</v>
      </c>
      <c r="BS72" s="31">
        <f t="shared" si="3"/>
        <v>0</v>
      </c>
    </row>
    <row r="73" spans="1:71" ht="15" thickBot="1">
      <c r="A73" s="9" t="str">
        <f>'DEZEMBRO-25'!A73</f>
        <v>LUVA N/ESTÉRIL PP</v>
      </c>
      <c r="B73" s="12" t="e">
        <f>'DEZEMBRO-25'!G73</f>
        <v>#VALUE!</v>
      </c>
      <c r="C73" s="15" t="str">
        <f>'DEZEMBRO-25'!C73</f>
        <v>TEM MUITO</v>
      </c>
      <c r="D73" s="15" t="str">
        <f>'DEZEMBRO-25'!D73</f>
        <v>TEM MUITO</v>
      </c>
      <c r="E73" s="23"/>
      <c r="F73" s="22"/>
      <c r="G73" s="25" t="e">
        <f>#REF!+E73-F73-AM73</f>
        <v>#REF!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30">
        <f t="shared" si="2"/>
        <v>0</v>
      </c>
      <c r="BS73" s="31">
        <f t="shared" si="3"/>
        <v>0</v>
      </c>
    </row>
    <row r="74" spans="1:71" ht="15" thickBot="1">
      <c r="A74" s="9" t="str">
        <f>'DEZEMBRO-25'!A74</f>
        <v>LUVA N/ESTÉRIL PP</v>
      </c>
      <c r="B74" s="12" t="e">
        <f>'DEZEMBRO-25'!G74</f>
        <v>#VALUE!</v>
      </c>
      <c r="C74" s="15" t="str">
        <f>'DEZEMBRO-25'!C74</f>
        <v>TEM MUITO</v>
      </c>
      <c r="D74" s="15" t="str">
        <f>'DEZEMBRO-25'!D74</f>
        <v>TEM MUITO</v>
      </c>
      <c r="E74" s="23"/>
      <c r="F74" s="22"/>
      <c r="G74" s="25" t="e">
        <f>#REF!+E74-F74-AM74</f>
        <v>#REF!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30">
        <f t="shared" si="2"/>
        <v>0</v>
      </c>
      <c r="BS74" s="31">
        <f t="shared" si="3"/>
        <v>0</v>
      </c>
    </row>
    <row r="75" spans="1:71" ht="15" thickBot="1">
      <c r="A75" s="9" t="str">
        <f>'DEZEMBRO-25'!A75</f>
        <v>MACADOR PRETO</v>
      </c>
      <c r="B75" s="12">
        <f>'DEZEMBRO-25'!G75</f>
        <v>0</v>
      </c>
      <c r="C75" s="15">
        <f>'DEZEMBRO-25'!C75</f>
        <v>0</v>
      </c>
      <c r="D75" s="15">
        <f>'DEZEMBRO-25'!D75</f>
        <v>0</v>
      </c>
      <c r="E75" s="23"/>
      <c r="F75" s="22"/>
      <c r="G75" s="25" t="e">
        <f>#REF!+E75-F75-AM75</f>
        <v>#REF!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30">
        <f t="shared" si="2"/>
        <v>0</v>
      </c>
      <c r="BS75" s="31">
        <f t="shared" si="3"/>
        <v>0</v>
      </c>
    </row>
    <row r="76" spans="1:71" ht="15" thickBot="1">
      <c r="A76" s="9" t="str">
        <f>'DEZEMBRO-25'!A76</f>
        <v>MARCA TEXTO</v>
      </c>
      <c r="B76" s="12">
        <f>'DEZEMBRO-25'!G76</f>
        <v>0</v>
      </c>
      <c r="C76" s="15">
        <f>'DEZEMBRO-25'!C76</f>
        <v>0</v>
      </c>
      <c r="D76" s="15">
        <f>'DEZEMBRO-25'!D76</f>
        <v>0</v>
      </c>
      <c r="E76" s="23"/>
      <c r="F76" s="22"/>
      <c r="G76" s="25" t="e">
        <f>#REF!+E76-F76-AM76</f>
        <v>#REF!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30">
        <f t="shared" si="2"/>
        <v>0</v>
      </c>
      <c r="BS76" s="31">
        <f t="shared" si="3"/>
        <v>0</v>
      </c>
    </row>
    <row r="77" spans="1:71" ht="15" thickBot="1">
      <c r="A77" s="9" t="str">
        <f>'DEZEMBRO-25'!A77</f>
        <v>ÓLEO CICATRIZANTE 100ML (GIRASSOL)</v>
      </c>
      <c r="B77" s="12">
        <f>'DEZEMBRO-25'!G77</f>
        <v>0</v>
      </c>
      <c r="C77" s="15">
        <f>'DEZEMBRO-25'!C77</f>
        <v>0</v>
      </c>
      <c r="D77" s="15">
        <f>'DEZEMBRO-25'!D77</f>
        <v>0</v>
      </c>
      <c r="E77" s="23"/>
      <c r="F77" s="22"/>
      <c r="G77" s="25" t="e">
        <f>#REF!+E77-F77-AM77</f>
        <v>#REF!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30">
        <f t="shared" si="2"/>
        <v>0</v>
      </c>
      <c r="BS77" s="31">
        <f t="shared" si="3"/>
        <v>0</v>
      </c>
    </row>
    <row r="78" spans="1:71" ht="15" thickBot="1">
      <c r="A78" s="9" t="str">
        <f>'DEZEMBRO-25'!A78</f>
        <v>ÓLEO CICATRIZANTE 200ML (GIRASSOL)</v>
      </c>
      <c r="B78" s="12">
        <f>'DEZEMBRO-25'!G78</f>
        <v>0</v>
      </c>
      <c r="C78" s="15">
        <f>'DEZEMBRO-25'!C78</f>
        <v>0</v>
      </c>
      <c r="D78" s="15">
        <f>'DEZEMBRO-25'!D78</f>
        <v>0</v>
      </c>
      <c r="E78" s="23"/>
      <c r="F78" s="22"/>
      <c r="G78" s="25" t="e">
        <f>#REF!+E78-F78-AM78</f>
        <v>#REF!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30">
        <f t="shared" si="2"/>
        <v>0</v>
      </c>
      <c r="BS78" s="31">
        <f t="shared" si="3"/>
        <v>0</v>
      </c>
    </row>
    <row r="79" spans="1:71" ht="15" hidden="1" thickBot="1">
      <c r="A79" s="9" t="str">
        <f>'DEZEMBRO-25'!A79</f>
        <v>OTOSCÓPIO</v>
      </c>
      <c r="B79" s="12">
        <f>'DEZEMBRO-25'!G79</f>
        <v>11</v>
      </c>
      <c r="C79" s="15" t="str">
        <f>'DEZEMBRO-25'!C79</f>
        <v>UND</v>
      </c>
      <c r="D79" s="15" t="str">
        <f>'DEZEMBRO-25'!D79</f>
        <v>NÃO SAI</v>
      </c>
      <c r="E79" s="23"/>
      <c r="F79" s="22"/>
      <c r="G79" s="25" t="e">
        <f>#REF!+E79-F79-AM79</f>
        <v>#REF!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30">
        <f t="shared" si="2"/>
        <v>0</v>
      </c>
      <c r="BS79" s="31">
        <f t="shared" si="3"/>
        <v>0</v>
      </c>
    </row>
    <row r="80" spans="1:71" ht="15" hidden="1" thickBot="1">
      <c r="A80" s="9" t="str">
        <f>'DEZEMBRO-25'!A80</f>
        <v>PÁ DE LIXO</v>
      </c>
      <c r="B80" s="12">
        <f>'DEZEMBRO-25'!G80</f>
        <v>0</v>
      </c>
      <c r="C80" s="15">
        <f>'DEZEMBRO-25'!C80</f>
        <v>0</v>
      </c>
      <c r="D80" s="15">
        <f>'DEZEMBRO-25'!D80</f>
        <v>0</v>
      </c>
      <c r="E80" s="23"/>
      <c r="F80" s="22"/>
      <c r="G80" s="25" t="e">
        <f>#REF!+E80-F80-AM80</f>
        <v>#REF!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30">
        <f t="shared" si="2"/>
        <v>0</v>
      </c>
      <c r="BS80" s="31">
        <f t="shared" si="3"/>
        <v>0</v>
      </c>
    </row>
    <row r="81" spans="1:71" ht="15" thickBot="1">
      <c r="A81" s="9" t="str">
        <f>'DEZEMBRO-25'!A81</f>
        <v>PANO DE PRATO</v>
      </c>
      <c r="B81" s="12">
        <f>'DEZEMBRO-25'!G81</f>
        <v>0</v>
      </c>
      <c r="C81" s="15"/>
      <c r="D81" s="15" t="str">
        <f>'DEZEMBRO-25'!D81</f>
        <v>COMPRAS</v>
      </c>
      <c r="E81" s="23"/>
      <c r="F81" s="22"/>
      <c r="G81" s="25" t="e">
        <f>#REF!+E81-F81-AM81</f>
        <v>#REF!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30">
        <f t="shared" si="2"/>
        <v>0</v>
      </c>
      <c r="BS81" s="31">
        <f t="shared" si="3"/>
        <v>0</v>
      </c>
    </row>
    <row r="82" spans="1:71" ht="15" thickBot="1">
      <c r="A82" s="9" t="str">
        <f>'DEZEMBRO-25'!A82</f>
        <v>PILHA AAA (COMUN)</v>
      </c>
      <c r="B82" s="12">
        <f>'DEZEMBRO-25'!G82</f>
        <v>0</v>
      </c>
      <c r="C82" s="15" t="s">
        <v>777</v>
      </c>
      <c r="D82" s="15" t="str">
        <f>'DEZEMBRO-25'!D82</f>
        <v>O</v>
      </c>
      <c r="E82" s="23"/>
      <c r="F82" s="22"/>
      <c r="G82" s="25" t="e">
        <f>#REF!+E82-F82-AM82</f>
        <v>#REF!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30">
        <f t="shared" si="2"/>
        <v>0</v>
      </c>
      <c r="BS82" s="31">
        <f t="shared" si="3"/>
        <v>0</v>
      </c>
    </row>
    <row r="83" spans="1:71" ht="15" thickBot="1">
      <c r="A83" s="9" t="str">
        <f>'DEZEMBRO-25'!A83</f>
        <v>PILHA AAA (PALITO)</v>
      </c>
      <c r="B83" s="12">
        <f>'DEZEMBRO-25'!G83</f>
        <v>0</v>
      </c>
      <c r="C83" s="15" t="s">
        <v>777</v>
      </c>
      <c r="D83" s="15" t="str">
        <f>'DEZEMBRO-25'!D83</f>
        <v>O</v>
      </c>
      <c r="E83" s="23"/>
      <c r="F83" s="22"/>
      <c r="G83" s="25" t="e">
        <f>#REF!+E83-F83-AM83</f>
        <v>#REF!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30">
        <f t="shared" si="2"/>
        <v>0</v>
      </c>
      <c r="BS83" s="31">
        <f t="shared" si="3"/>
        <v>0</v>
      </c>
    </row>
    <row r="84" spans="1:71" ht="15" thickBot="1">
      <c r="A84" s="9" t="str">
        <f>'DEZEMBRO-25'!A84</f>
        <v>PISTOLA COLA QUENTE GRANDE</v>
      </c>
      <c r="B84" s="12">
        <f>'DEZEMBRO-25'!G84</f>
        <v>0</v>
      </c>
      <c r="C84" s="15" t="s">
        <v>777</v>
      </c>
      <c r="D84" s="15" t="str">
        <f>'DEZEMBRO-25'!D84</f>
        <v>O</v>
      </c>
      <c r="E84" s="23"/>
      <c r="F84" s="22"/>
      <c r="G84" s="25" t="e">
        <f>#REF!+E84-F84-AM84</f>
        <v>#REF!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30">
        <f t="shared" si="2"/>
        <v>0</v>
      </c>
      <c r="BS84" s="31">
        <f t="shared" si="3"/>
        <v>0</v>
      </c>
    </row>
    <row r="85" spans="1:71" ht="15" thickBot="1">
      <c r="A85" s="9" t="str">
        <f>'DEZEMBRO-25'!A85</f>
        <v>PORTA CANETA</v>
      </c>
      <c r="B85" s="12">
        <f>'DEZEMBRO-25'!G85</f>
        <v>0</v>
      </c>
      <c r="C85" s="15" t="s">
        <v>777</v>
      </c>
      <c r="D85" s="15" t="str">
        <f>'DEZEMBRO-25'!D85</f>
        <v>O</v>
      </c>
      <c r="E85" s="23"/>
      <c r="F85" s="22"/>
      <c r="G85" s="25" t="e">
        <f>#REF!+E85-F85-AM85</f>
        <v>#REF!</v>
      </c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30">
        <f t="shared" si="2"/>
        <v>0</v>
      </c>
      <c r="BS85" s="31">
        <f t="shared" si="3"/>
        <v>0</v>
      </c>
    </row>
    <row r="86" spans="1:71" ht="15" thickBot="1">
      <c r="A86" s="9" t="str">
        <f>'DEZEMBRO-25'!A86</f>
        <v>PRANCHETA</v>
      </c>
      <c r="B86" s="12">
        <f>'DEZEMBRO-25'!G86</f>
        <v>0</v>
      </c>
      <c r="C86" s="15" t="s">
        <v>777</v>
      </c>
      <c r="D86" s="15" t="str">
        <f>'DEZEMBRO-25'!D86</f>
        <v>O</v>
      </c>
      <c r="E86" s="23"/>
      <c r="F86" s="22"/>
      <c r="G86" s="25" t="e">
        <f>#REF!+E86-F86-AM86</f>
        <v>#REF!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30">
        <f t="shared" si="2"/>
        <v>0</v>
      </c>
      <c r="BS86" s="31">
        <f t="shared" si="3"/>
        <v>0</v>
      </c>
    </row>
    <row r="87" spans="1:71" ht="15" thickBot="1">
      <c r="A87" s="9" t="str">
        <f>'DEZEMBRO-25'!A87</f>
        <v>PURIFICADOR</v>
      </c>
      <c r="B87" s="12">
        <f>'DEZEMBRO-25'!G87</f>
        <v>0</v>
      </c>
      <c r="C87" s="15" t="s">
        <v>777</v>
      </c>
      <c r="D87" s="15" t="str">
        <f>'DEZEMBRO-25'!D87</f>
        <v>O</v>
      </c>
      <c r="E87" s="23"/>
      <c r="F87" s="22"/>
      <c r="G87" s="25" t="e">
        <f>#REF!+E87-F87-AM87</f>
        <v>#REF!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30">
        <f t="shared" si="2"/>
        <v>0</v>
      </c>
      <c r="BS87" s="31">
        <f t="shared" si="3"/>
        <v>0</v>
      </c>
    </row>
    <row r="88" spans="1:71" ht="15" thickBot="1">
      <c r="A88" s="9" t="str">
        <f>'DEZEMBRO-25'!A88</f>
        <v>REGUA 30 CM</v>
      </c>
      <c r="B88" s="12" t="e">
        <f>'DEZEMBRO-25'!G88</f>
        <v>#VALUE!</v>
      </c>
      <c r="C88" s="15" t="s">
        <v>715</v>
      </c>
      <c r="D88" s="15" t="str">
        <f>'DEZEMBRO-25'!D88</f>
        <v>TEM MUITO</v>
      </c>
      <c r="E88" s="23"/>
      <c r="F88" s="22"/>
      <c r="G88" s="25" t="e">
        <f>#REF!+E88-F88-AM88</f>
        <v>#REF!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30">
        <f t="shared" si="2"/>
        <v>0</v>
      </c>
      <c r="BS88" s="31">
        <f t="shared" si="3"/>
        <v>0</v>
      </c>
    </row>
    <row r="89" spans="1:71" ht="15" thickBot="1">
      <c r="A89" s="9" t="str">
        <f>'DEZEMBRO-25'!A89</f>
        <v>SABÃO LÍQUIDO</v>
      </c>
      <c r="B89" s="12">
        <f>'DEZEMBRO-25'!G89</f>
        <v>51</v>
      </c>
      <c r="C89" s="15" t="s">
        <v>43</v>
      </c>
      <c r="D89" s="15" t="str">
        <f>'DEZEMBRO-25'!D89</f>
        <v>SAIDA REGULAR</v>
      </c>
      <c r="E89" s="23"/>
      <c r="F89" s="22"/>
      <c r="G89" s="25" t="e">
        <f>#REF!+E89-F89-AM89</f>
        <v>#REF!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30">
        <f t="shared" si="2"/>
        <v>0</v>
      </c>
      <c r="BS89" s="31">
        <f t="shared" si="3"/>
        <v>0</v>
      </c>
    </row>
    <row r="90" spans="1:71" ht="15" thickBot="1">
      <c r="A90" s="9" t="str">
        <f>'DEZEMBRO-25'!A90</f>
        <v>SACO DE LIXO 100lt</v>
      </c>
      <c r="B90" s="12">
        <f>'DEZEMBRO-25'!G90</f>
        <v>70</v>
      </c>
      <c r="C90" s="15" t="s">
        <v>82</v>
      </c>
      <c r="D90" s="15" t="str">
        <f>'DEZEMBRO-25'!D90</f>
        <v>SAI MUITO</v>
      </c>
      <c r="E90" s="23"/>
      <c r="F90" s="22"/>
      <c r="G90" s="25" t="e">
        <f>#REF!+E90-F90-AM90</f>
        <v>#REF!</v>
      </c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30">
        <f t="shared" si="2"/>
        <v>0</v>
      </c>
      <c r="BS90" s="31">
        <f t="shared" si="3"/>
        <v>0</v>
      </c>
    </row>
    <row r="91" spans="1:71" ht="15" thickBot="1">
      <c r="A91" s="9" t="str">
        <f>'DEZEMBRO-25'!A91</f>
        <v>SCALP 23G</v>
      </c>
      <c r="B91" s="12">
        <f>'DEZEMBRO-25'!G91</f>
        <v>33</v>
      </c>
      <c r="C91" s="15" t="s">
        <v>54</v>
      </c>
      <c r="D91" s="15" t="str">
        <f>'DEZEMBRO-25'!D91</f>
        <v>NÃO SAI</v>
      </c>
      <c r="E91" s="23"/>
      <c r="F91" s="22"/>
      <c r="G91" s="25" t="e">
        <f>#REF!+E91-F91-AM91</f>
        <v>#REF!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30">
        <f t="shared" si="2"/>
        <v>0</v>
      </c>
      <c r="BS91" s="31">
        <f t="shared" si="3"/>
        <v>0</v>
      </c>
    </row>
    <row r="92" spans="1:71" ht="15" thickBot="1">
      <c r="A92" s="9" t="str">
        <f>'DEZEMBRO-25'!A92</f>
        <v>SERINGA HIPODÉRMICA 20ML</v>
      </c>
      <c r="B92" s="12">
        <f>'DEZEMBRO-25'!G92</f>
        <v>0</v>
      </c>
      <c r="C92" s="15">
        <v>0</v>
      </c>
      <c r="D92" s="15">
        <f>'DEZEMBRO-25'!D92</f>
        <v>0</v>
      </c>
      <c r="E92" s="23"/>
      <c r="F92" s="22"/>
      <c r="G92" s="25" t="e">
        <f>#REF!+E92-F92-AM92</f>
        <v>#REF!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30">
        <f t="shared" si="2"/>
        <v>0</v>
      </c>
      <c r="BS92" s="31">
        <f t="shared" si="3"/>
        <v>0</v>
      </c>
    </row>
    <row r="93" spans="1:71" ht="15" thickBot="1">
      <c r="A93" s="9" t="str">
        <f>'DEZEMBRO-25'!A93</f>
        <v>SERINGA HIPODÉRMICA 3ML</v>
      </c>
      <c r="B93" s="12" t="e">
        <f>'DEZEMBRO-25'!G93</f>
        <v>#VALUE!</v>
      </c>
      <c r="C93" s="15" t="s">
        <v>715</v>
      </c>
      <c r="D93" s="15" t="str">
        <f>'DEZEMBRO-25'!D93</f>
        <v>TEM MUITO</v>
      </c>
      <c r="E93" s="23"/>
      <c r="F93" s="22"/>
      <c r="G93" s="25" t="e">
        <f>#REF!+E93-F93-AM93</f>
        <v>#REF!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30">
        <f t="shared" si="2"/>
        <v>0</v>
      </c>
      <c r="BS93" s="31">
        <f t="shared" si="3"/>
        <v>0</v>
      </c>
    </row>
    <row r="94" spans="1:71" ht="15" thickBot="1">
      <c r="A94" s="9" t="str">
        <f>'DEZEMBRO-25'!A94</f>
        <v>SERINGA P/INSULINA 1ML</v>
      </c>
      <c r="B94" s="15" t="e">
        <f>'DEZEMBRO-25'!G94</f>
        <v>#VALUE!</v>
      </c>
      <c r="C94" s="15" t="s">
        <v>764</v>
      </c>
      <c r="D94" s="15" t="str">
        <f>'DEZEMBRO-25'!D94</f>
        <v>FICAR DE OLHO</v>
      </c>
      <c r="E94" s="23"/>
      <c r="F94" s="22"/>
      <c r="G94" s="25" t="e">
        <f>#REF!+E94-F94-AM94</f>
        <v>#REF!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30">
        <f t="shared" si="2"/>
        <v>0</v>
      </c>
      <c r="BS94" s="31">
        <f t="shared" si="3"/>
        <v>0</v>
      </c>
    </row>
    <row r="95" spans="1:71" ht="15" thickBot="1">
      <c r="A95" s="9" t="str">
        <f>'DEZEMBRO-25'!A95</f>
        <v>SONDA DE FOLEY 14</v>
      </c>
      <c r="B95" s="15" t="e">
        <f>'DEZEMBRO-25'!G95</f>
        <v>#VALUE!</v>
      </c>
      <c r="C95" s="15" t="s">
        <v>721</v>
      </c>
      <c r="D95" s="15" t="str">
        <f>'DEZEMBRO-25'!D95</f>
        <v>NÃO SAI</v>
      </c>
      <c r="E95" s="23"/>
      <c r="F95" s="22"/>
      <c r="G95" s="25" t="e">
        <f>#REF!+E95-F95-AM95</f>
        <v>#REF!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30">
        <f t="shared" si="2"/>
        <v>0</v>
      </c>
      <c r="BS95" s="31">
        <f t="shared" si="3"/>
        <v>0</v>
      </c>
    </row>
    <row r="96" spans="1:71" ht="15" thickBot="1">
      <c r="A96" s="9" t="str">
        <f>'DEZEMBRO-25'!A96</f>
        <v>SONDA URETRAL N°10</v>
      </c>
      <c r="B96" s="12">
        <f>'DEZEMBRO-25'!G96</f>
        <v>50</v>
      </c>
      <c r="C96" s="15" t="s">
        <v>43</v>
      </c>
      <c r="D96" s="15" t="str">
        <f>'DEZEMBRO-25'!D96</f>
        <v>NÃO SAI</v>
      </c>
      <c r="E96" s="23"/>
      <c r="F96" s="22"/>
      <c r="G96" s="25" t="e">
        <f>#REF!+E96-F96-AM96</f>
        <v>#REF!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30">
        <f t="shared" si="2"/>
        <v>0</v>
      </c>
      <c r="BS96" s="31">
        <f t="shared" si="3"/>
        <v>0</v>
      </c>
    </row>
    <row r="97" spans="1:71" ht="15" thickBot="1">
      <c r="A97" s="9" t="str">
        <f>'DEZEMBRO-25'!A97</f>
        <v>SONDA URETRAL N°12</v>
      </c>
      <c r="B97" s="12" t="e">
        <f>'DEZEMBRO-25'!G97</f>
        <v>#VALUE!</v>
      </c>
      <c r="C97" s="15" t="s">
        <v>43</v>
      </c>
      <c r="D97" s="15" t="str">
        <f>'DEZEMBRO-25'!D97</f>
        <v>SAI MUITO</v>
      </c>
      <c r="E97" s="23"/>
      <c r="F97" s="22"/>
      <c r="G97" s="25" t="e">
        <f>#REF!+E97-F97-AM97</f>
        <v>#REF!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30">
        <f t="shared" si="2"/>
        <v>0</v>
      </c>
      <c r="BS97" s="31">
        <f t="shared" si="3"/>
        <v>0</v>
      </c>
    </row>
    <row r="98" spans="1:71" ht="15" thickBot="1">
      <c r="A98" s="9" t="str">
        <f>'DEZEMBRO-25'!A98</f>
        <v>SONDA URETRAL N°14</v>
      </c>
      <c r="B98" s="12">
        <f>'DEZEMBRO-25'!G98</f>
        <v>0</v>
      </c>
      <c r="C98" s="15">
        <v>0</v>
      </c>
      <c r="D98" s="15" t="str">
        <f>'DEZEMBRO-25'!D98</f>
        <v>OLHAR COM ZE MARIA</v>
      </c>
      <c r="E98" s="23"/>
      <c r="F98" s="22"/>
      <c r="G98" s="25" t="e">
        <f>#REF!+E98-F98-AM98</f>
        <v>#REF!</v>
      </c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30">
        <f t="shared" si="2"/>
        <v>0</v>
      </c>
      <c r="BS98" s="31">
        <f t="shared" si="3"/>
        <v>0</v>
      </c>
    </row>
    <row r="99" spans="1:71" ht="15" thickBot="1">
      <c r="A99" s="9" t="str">
        <f>'DEZEMBRO-25'!A99</f>
        <v>SONDA URETRAL N°14 TRANSF. MARROM GÁS ETO</v>
      </c>
      <c r="B99" s="12">
        <f>'DEZEMBRO-25'!G99</f>
        <v>100</v>
      </c>
      <c r="C99" s="15" t="s">
        <v>43</v>
      </c>
      <c r="D99" s="15" t="str">
        <f>'DEZEMBRO-25'!D99</f>
        <v>OLHAR COM ZE MARIA</v>
      </c>
      <c r="E99" s="23"/>
      <c r="F99" s="22"/>
      <c r="G99" s="25" t="e">
        <f>#REF!+E99-F99-AM99</f>
        <v>#REF!</v>
      </c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30">
        <f t="shared" si="2"/>
        <v>0</v>
      </c>
      <c r="BS99" s="31">
        <f t="shared" si="3"/>
        <v>0</v>
      </c>
    </row>
    <row r="100" spans="1:71" ht="15" hidden="1" thickBot="1">
      <c r="A100" s="9" t="str">
        <f>'DEZEMBRO-25'!A100</f>
        <v>SORO 100 ML</v>
      </c>
      <c r="B100" s="12">
        <f>'DEZEMBRO-25'!G100</f>
        <v>1860</v>
      </c>
      <c r="C100" s="15" t="s">
        <v>43</v>
      </c>
      <c r="D100" s="15" t="str">
        <f>'DEZEMBRO-25'!D100</f>
        <v>SAIDA REGULAR</v>
      </c>
      <c r="E100" s="23"/>
      <c r="F100" s="22"/>
      <c r="G100" s="25" t="e">
        <f>#REF!+E100-F100-AM100</f>
        <v>#REF!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30">
        <f t="shared" si="2"/>
        <v>0</v>
      </c>
      <c r="BS100" s="31">
        <f t="shared" si="3"/>
        <v>0</v>
      </c>
    </row>
    <row r="101" spans="1:71" ht="15" hidden="1" thickBot="1">
      <c r="A101" s="9" t="str">
        <f>'DEZEMBRO-25'!A101</f>
        <v>SORO 500 ML</v>
      </c>
      <c r="B101" s="12">
        <f>'DEZEMBRO-25'!G101</f>
        <v>3</v>
      </c>
      <c r="C101" s="15" t="s">
        <v>54</v>
      </c>
      <c r="D101" s="17" t="str">
        <f>'DEZEMBRO-25'!D101</f>
        <v>PAM</v>
      </c>
      <c r="E101" s="23"/>
      <c r="F101" s="22"/>
      <c r="G101" s="25" t="e">
        <f>#REF!+E101-F101-AM101</f>
        <v>#REF!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30">
        <f t="shared" si="2"/>
        <v>0</v>
      </c>
      <c r="BS101" s="31">
        <f t="shared" si="3"/>
        <v>0</v>
      </c>
    </row>
    <row r="102" spans="1:71" ht="15" thickBot="1">
      <c r="A102" s="9" t="str">
        <f>'DEZEMBRO-25'!A102</f>
        <v>SORO GLICOSADO 250 ML</v>
      </c>
      <c r="B102" s="12">
        <f>'DEZEMBRO-25'!G102</f>
        <v>336</v>
      </c>
      <c r="C102" s="15" t="s">
        <v>43</v>
      </c>
      <c r="D102" s="15" t="str">
        <f>'DEZEMBRO-25'!D102</f>
        <v>SAIDA EXPECIFICA</v>
      </c>
      <c r="E102" s="23"/>
      <c r="F102" s="22"/>
      <c r="G102" s="25" t="e">
        <f>#REF!+E102-F102-AM102</f>
        <v>#REF!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>
        <f t="shared" si="2"/>
        <v>0</v>
      </c>
      <c r="BS102" s="31">
        <f t="shared" si="3"/>
        <v>0</v>
      </c>
    </row>
    <row r="103" spans="1:71" ht="15" thickBot="1">
      <c r="A103" s="9" t="str">
        <f>'DEZEMBRO-25'!A103</f>
        <v>SORO GLICOSADO 500 ML</v>
      </c>
      <c r="B103" s="12">
        <f>'DEZEMBRO-25'!G103</f>
        <v>0</v>
      </c>
      <c r="C103" s="15">
        <v>0</v>
      </c>
      <c r="D103" s="15">
        <f>'DEZEMBRO-25'!D103</f>
        <v>0</v>
      </c>
      <c r="E103" s="23"/>
      <c r="F103" s="22"/>
      <c r="G103" s="25" t="e">
        <f>#REF!+E103-F103-AM103</f>
        <v>#REF!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30">
        <f t="shared" si="2"/>
        <v>0</v>
      </c>
      <c r="BS103" s="31">
        <f t="shared" si="3"/>
        <v>0</v>
      </c>
    </row>
    <row r="104" spans="1:71" ht="15" thickBot="1">
      <c r="A104" s="9" t="str">
        <f>'DEZEMBRO-25'!A104</f>
        <v>TALA ARAMADA KIT</v>
      </c>
      <c r="B104" s="12">
        <f>'DEZEMBRO-25'!G104</f>
        <v>0</v>
      </c>
      <c r="C104" s="15">
        <v>0</v>
      </c>
      <c r="D104" s="15">
        <f>'DEZEMBRO-25'!D104</f>
        <v>0</v>
      </c>
      <c r="E104" s="23"/>
      <c r="F104" s="22"/>
      <c r="G104" s="25" t="e">
        <f>#REF!+E104-F104-AM104</f>
        <v>#REF!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30">
        <f t="shared" si="2"/>
        <v>0</v>
      </c>
      <c r="BS104" s="31">
        <f t="shared" si="3"/>
        <v>0</v>
      </c>
    </row>
    <row r="105" spans="1:71" ht="15" thickBot="1">
      <c r="A105" s="9" t="str">
        <f>'DEZEMBRO-25'!A105</f>
        <v>TERMÔMETRO DIGITAL</v>
      </c>
      <c r="B105" s="12">
        <f>'DEZEMBRO-25'!G105</f>
        <v>0</v>
      </c>
      <c r="C105" s="15">
        <v>0</v>
      </c>
      <c r="D105" s="15">
        <f>'DEZEMBRO-25'!D105</f>
        <v>0</v>
      </c>
      <c r="E105" s="23"/>
      <c r="F105" s="22"/>
      <c r="G105" s="25" t="e">
        <f>#REF!+E105-F105-AM105</f>
        <v>#REF!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>
        <f t="shared" si="2"/>
        <v>0</v>
      </c>
      <c r="BS105" s="31">
        <f t="shared" si="3"/>
        <v>0</v>
      </c>
    </row>
    <row r="106" spans="1:71" ht="15" thickBot="1">
      <c r="A106" s="9" t="str">
        <f>'DEZEMBRO-25'!A106</f>
        <v>TERMÔMETRO INFRAVERMELHO</v>
      </c>
      <c r="B106" s="12">
        <f>'DEZEMBRO-25'!G106</f>
        <v>0</v>
      </c>
      <c r="C106" s="15">
        <v>0</v>
      </c>
      <c r="D106" s="15">
        <f>'DEZEMBRO-25'!D106</f>
        <v>0</v>
      </c>
      <c r="E106" s="23"/>
      <c r="F106" s="22"/>
      <c r="G106" s="25" t="e">
        <f>#REF!+E106-F106-AM106</f>
        <v>#REF!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30">
        <f t="shared" si="2"/>
        <v>0</v>
      </c>
      <c r="BS106" s="31">
        <f t="shared" si="3"/>
        <v>0</v>
      </c>
    </row>
    <row r="107" spans="1:71" ht="15" thickBot="1">
      <c r="A107" s="9" t="str">
        <f>'DEZEMBRO-25'!A107</f>
        <v>TESOURA MULTIUSO</v>
      </c>
      <c r="B107" s="12">
        <f>'DEZEMBRO-25'!G107</f>
        <v>0</v>
      </c>
      <c r="C107" s="15">
        <v>0</v>
      </c>
      <c r="D107" s="15">
        <f>'DEZEMBRO-25'!D107</f>
        <v>0</v>
      </c>
      <c r="E107" s="23"/>
      <c r="F107" s="22"/>
      <c r="G107" s="25" t="e">
        <f>#REF!+E107-F107-AM107</f>
        <v>#REF!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30">
        <f t="shared" si="2"/>
        <v>0</v>
      </c>
      <c r="BS107" s="31">
        <f t="shared" si="3"/>
        <v>0</v>
      </c>
    </row>
    <row r="108" spans="1:71" ht="15" thickBot="1">
      <c r="A108" s="9" t="str">
        <f>'DEZEMBRO-25'!A108</f>
        <v>TUBO DE COLA QUENTE GROSSA</v>
      </c>
      <c r="B108" s="12">
        <f>'DEZEMBRO-25'!G108</f>
        <v>74</v>
      </c>
      <c r="C108" s="15" t="s">
        <v>43</v>
      </c>
      <c r="D108" s="15" t="str">
        <f>'DEZEMBRO-25'!D108</f>
        <v>NÃO SAI</v>
      </c>
      <c r="E108" s="23"/>
      <c r="F108" s="22"/>
      <c r="G108" s="25" t="e">
        <f>#REF!+E108-F108-AM108</f>
        <v>#REF!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30">
        <f t="shared" si="2"/>
        <v>0</v>
      </c>
      <c r="BS108" s="31">
        <f t="shared" si="3"/>
        <v>0</v>
      </c>
    </row>
    <row r="109" spans="1:71" ht="15" thickBot="1">
      <c r="A109" s="9" t="str">
        <f>'DEZEMBRO-25'!A109</f>
        <v>TUBO DE LATEX 15 M</v>
      </c>
      <c r="B109" s="12">
        <f>'DEZEMBRO-25'!G109</f>
        <v>0</v>
      </c>
      <c r="C109" s="15">
        <v>0</v>
      </c>
      <c r="D109" s="15">
        <f>'DEZEMBRO-25'!D109</f>
        <v>0</v>
      </c>
      <c r="E109" s="23"/>
      <c r="F109" s="22"/>
      <c r="G109" s="25" t="e">
        <f>#REF!+E109-F109-AM109</f>
        <v>#REF!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30">
        <f t="shared" si="2"/>
        <v>0</v>
      </c>
      <c r="BS109" s="31">
        <f t="shared" si="3"/>
        <v>0</v>
      </c>
    </row>
    <row r="110" spans="1:71" ht="15" thickBot="1">
      <c r="A110" s="9" t="str">
        <f>'DEZEMBRO-25'!A110</f>
        <v>VASELINA LÍQUIDA</v>
      </c>
      <c r="B110" s="12">
        <f>'DEZEMBRO-25'!G110</f>
        <v>12</v>
      </c>
      <c r="C110" s="15" t="s">
        <v>43</v>
      </c>
      <c r="D110" s="15" t="str">
        <f>'DEZEMBRO-25'!D110</f>
        <v>1L</v>
      </c>
      <c r="E110" s="23"/>
      <c r="F110" s="22"/>
      <c r="G110" s="25" t="e">
        <f>#REF!+E110-F110-AM110</f>
        <v>#REF!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30">
        <f t="shared" si="2"/>
        <v>0</v>
      </c>
      <c r="BS110" s="31">
        <f t="shared" si="3"/>
        <v>0</v>
      </c>
    </row>
    <row r="111" spans="1:71" ht="15" thickBot="1">
      <c r="A111" s="9" t="str">
        <f>'DEZEMBRO-25'!A111</f>
        <v>VASSOURA PIAÇAVA</v>
      </c>
      <c r="B111" s="12">
        <f>'DEZEMBRO-25'!G111</f>
        <v>39</v>
      </c>
      <c r="C111" s="15" t="s">
        <v>43</v>
      </c>
      <c r="D111" s="15" t="str">
        <f>'DEZEMBRO-25'!D111</f>
        <v>SAIDA REGULAR</v>
      </c>
      <c r="E111" s="23"/>
      <c r="F111" s="22"/>
      <c r="G111" s="25" t="e">
        <f>#REF!+E111-F111-AM111</f>
        <v>#REF!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30">
        <f t="shared" si="2"/>
        <v>0</v>
      </c>
      <c r="BS111" s="31">
        <f t="shared" si="3"/>
        <v>0</v>
      </c>
    </row>
    <row r="112" spans="1:71" hidden="1">
      <c r="A112" s="10" t="str">
        <f>'DEZEMBRO-25'!A112</f>
        <v>SORO 250ML</v>
      </c>
      <c r="B112" s="13">
        <f>'DEZEMBRO-25'!G112</f>
        <v>437</v>
      </c>
      <c r="C112" s="16" t="s">
        <v>43</v>
      </c>
      <c r="D112" s="16" t="str">
        <f>'DEZEMBRO-25'!D112</f>
        <v>FICAR DE OLHO</v>
      </c>
      <c r="E112" s="23"/>
      <c r="F112" s="22"/>
      <c r="G112" s="25" t="e">
        <f>#REF!+E112-F112-AM112</f>
        <v>#REF!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30">
        <f t="shared" si="2"/>
        <v>0</v>
      </c>
      <c r="BS112" s="31">
        <f t="shared" si="3"/>
        <v>0</v>
      </c>
    </row>
    <row r="113" spans="1:11">
      <c r="A113" s="18" t="str">
        <f>'DEZEMBRO-25'!A113</f>
        <v>armário de aço 2 portas 192x800x400</v>
      </c>
      <c r="B113" s="16">
        <f>'DEZEMBRO-25'!G113</f>
        <v>4</v>
      </c>
      <c r="C113" s="16">
        <f>'DEZEMBRO-25'!C113</f>
        <v>0</v>
      </c>
      <c r="D113" s="16">
        <f>'DEZEMBRO-25'!D113</f>
        <v>0</v>
      </c>
      <c r="E113" s="23"/>
      <c r="F113" s="22"/>
      <c r="G113" s="25"/>
      <c r="K113" s="11"/>
    </row>
    <row r="114" spans="1:11">
      <c r="A114" s="11" t="str">
        <f>'DEZEMBRO-25'!A114</f>
        <v>armário de aço 2 portas 1600x750x400</v>
      </c>
      <c r="B114" s="14">
        <f>'DEZEMBRO-25'!G114</f>
        <v>4</v>
      </c>
      <c r="C114" s="14">
        <f>'DEZEMBRO-25'!C114</f>
        <v>0</v>
      </c>
      <c r="D114">
        <f>'DEZEMBRO-25'!D114</f>
        <v>0</v>
      </c>
      <c r="K114" s="11"/>
    </row>
    <row r="115" spans="1:11">
      <c r="A115" s="11" t="str">
        <f>'DEZEMBRO-25'!A115</f>
        <v>arquivo de aço 4 gavetas tamanho 0.13x0.6x1.34</v>
      </c>
      <c r="B115" s="14">
        <f>'DEZEMBRO-25'!G115</f>
        <v>0</v>
      </c>
      <c r="C115" s="14">
        <f>'DEZEMBRO-25'!C115</f>
        <v>0</v>
      </c>
      <c r="D115">
        <f>'DEZEMBRO-25'!D115</f>
        <v>0</v>
      </c>
    </row>
    <row r="116" spans="1:11">
      <c r="A116" s="11" t="str">
        <f>'DEZEMBRO-25'!A116</f>
        <v xml:space="preserve">pratireira </v>
      </c>
      <c r="B116" s="14">
        <f>'DEZEMBRO-25'!G116</f>
        <v>4</v>
      </c>
      <c r="C116" s="14">
        <f>'DEZEMBRO-25'!C116</f>
        <v>0</v>
      </c>
      <c r="D116">
        <f>'DEZEMBRO-25'!D116</f>
        <v>0</v>
      </c>
    </row>
    <row r="117" spans="1:11">
      <c r="A117" s="11" t="str">
        <f>'DEZEMBRO-25'!A117</f>
        <v>fogão industrial 4 bocas</v>
      </c>
      <c r="B117" s="14">
        <f>'DEZEMBRO-25'!G117</f>
        <v>2</v>
      </c>
      <c r="C117" s="14">
        <f>'DEZEMBRO-25'!C117</f>
        <v>0</v>
      </c>
      <c r="D117">
        <f>'DEZEMBRO-25'!D117</f>
        <v>0</v>
      </c>
    </row>
    <row r="118" spans="1:11">
      <c r="A118" s="11" t="str">
        <f>'DEZEMBRO-25'!A118</f>
        <v>fogão industrial 6 bocas</v>
      </c>
      <c r="B118" s="14">
        <f>'DEZEMBRO-25'!G118</f>
        <v>2</v>
      </c>
      <c r="C118" s="14">
        <f>'DEZEMBRO-25'!C118</f>
        <v>0</v>
      </c>
      <c r="D118">
        <f>'DEZEMBRO-25'!D118</f>
        <v>0</v>
      </c>
    </row>
    <row r="119" spans="1:11">
      <c r="A119" s="11" t="str">
        <f>'DEZEMBRO-25'!A119</f>
        <v xml:space="preserve"> ventilador de parede</v>
      </c>
      <c r="B119" s="14">
        <f>'DEZEMBRO-25'!G119</f>
        <v>8</v>
      </c>
      <c r="C119" s="14">
        <f>'DEZEMBRO-25'!C119</f>
        <v>0</v>
      </c>
      <c r="D119">
        <f>'DEZEMBRO-25'!D119</f>
        <v>0</v>
      </c>
    </row>
    <row r="120" spans="1:11">
      <c r="A120" s="11" t="str">
        <f>'DEZEMBRO-25'!A120</f>
        <v xml:space="preserve"> longarinas </v>
      </c>
      <c r="B120" s="14">
        <f>'DEZEMBRO-25'!G120</f>
        <v>5</v>
      </c>
      <c r="C120" s="14">
        <f>'DEZEMBRO-25'!C120</f>
        <v>0</v>
      </c>
      <c r="D120">
        <f>'DEZEMBRO-25'!D120</f>
        <v>0</v>
      </c>
    </row>
    <row r="121" spans="1:11" hidden="1">
      <c r="A121" s="11">
        <f>'DEZEMBRO-25'!A121</f>
        <v>0</v>
      </c>
      <c r="B121" s="14">
        <f>'DEZEMBRO-25'!G121</f>
        <v>0</v>
      </c>
      <c r="C121" s="14">
        <f>'DEZEMBRO-25'!C121</f>
        <v>0</v>
      </c>
      <c r="D121">
        <f>'DEZEMBRO-25'!D121</f>
        <v>0</v>
      </c>
    </row>
    <row r="122" spans="1:11" hidden="1">
      <c r="A122" s="11">
        <f>'DEZEMBRO-25'!A122</f>
        <v>0</v>
      </c>
      <c r="B122" s="14">
        <f>'DEZEMBRO-25'!G122</f>
        <v>0</v>
      </c>
      <c r="C122" s="14">
        <f>'DEZEMBRO-25'!C122</f>
        <v>0</v>
      </c>
      <c r="D122">
        <f>'DEZEMBRO-25'!D122</f>
        <v>0</v>
      </c>
    </row>
    <row r="123" spans="1:11" hidden="1">
      <c r="A123" s="11">
        <f>'DEZEMBRO-25'!A123</f>
        <v>0</v>
      </c>
      <c r="B123" s="14">
        <f>'DEZEMBRO-25'!G123</f>
        <v>0</v>
      </c>
      <c r="C123" s="14">
        <f>'DEZEMBRO-25'!C123</f>
        <v>0</v>
      </c>
      <c r="D123">
        <f>'DEZEMBRO-25'!D123</f>
        <v>0</v>
      </c>
    </row>
    <row r="124" spans="1:11" hidden="1">
      <c r="A124" s="11">
        <f>'DEZEMBRO-25'!A124</f>
        <v>0</v>
      </c>
      <c r="B124" s="14">
        <f>'DEZEMBRO-25'!G124</f>
        <v>0</v>
      </c>
      <c r="C124" s="14">
        <f>'DEZEMBRO-25'!C124</f>
        <v>0</v>
      </c>
      <c r="D124">
        <f>'DEZEMBRO-25'!D124</f>
        <v>0</v>
      </c>
    </row>
    <row r="125" spans="1:11" hidden="1">
      <c r="A125" s="11">
        <f>'DEZEMBRO-25'!A125</f>
        <v>0</v>
      </c>
      <c r="B125" s="14">
        <f>'DEZEMBRO-25'!G125</f>
        <v>0</v>
      </c>
      <c r="C125" s="14">
        <f>'DEZEMBRO-25'!C125</f>
        <v>0</v>
      </c>
      <c r="D125">
        <f>'DEZEMBRO-25'!D125</f>
        <v>0</v>
      </c>
    </row>
    <row r="126" spans="1:11" hidden="1">
      <c r="A126" s="11">
        <f>'DEZEMBRO-25'!A126</f>
        <v>0</v>
      </c>
      <c r="B126" s="14">
        <f>'DEZEMBRO-25'!G126</f>
        <v>0</v>
      </c>
      <c r="C126" s="14">
        <f>'DEZEMBRO-25'!C126</f>
        <v>0</v>
      </c>
      <c r="D126">
        <f>'DEZEMBRO-25'!D126</f>
        <v>0</v>
      </c>
    </row>
    <row r="127" spans="1:11" hidden="1">
      <c r="A127" s="11">
        <f>'DEZEMBRO-25'!A127</f>
        <v>0</v>
      </c>
      <c r="B127" s="14">
        <f>'DEZEMBRO-25'!G127</f>
        <v>0</v>
      </c>
      <c r="C127" s="14">
        <f>'DEZEMBRO-25'!C127</f>
        <v>0</v>
      </c>
      <c r="D127">
        <f>'DEZEMBRO-25'!D127</f>
        <v>0</v>
      </c>
    </row>
    <row r="128" spans="1:11" hidden="1">
      <c r="A128" s="11">
        <f>'DEZEMBRO-25'!A128</f>
        <v>0</v>
      </c>
      <c r="B128" s="14">
        <f>'DEZEMBRO-25'!G128</f>
        <v>0</v>
      </c>
      <c r="C128" s="14">
        <f>'DEZEMBRO-25'!C128</f>
        <v>0</v>
      </c>
      <c r="D128">
        <f>'DEZEMBRO-25'!D128</f>
        <v>0</v>
      </c>
    </row>
    <row r="129" spans="1:4" hidden="1">
      <c r="A129" s="11">
        <f>'DEZEMBRO-25'!A129</f>
        <v>0</v>
      </c>
      <c r="B129" s="14">
        <f>'DEZEMBRO-25'!G129</f>
        <v>0</v>
      </c>
      <c r="C129" s="14">
        <f>'DEZEMBRO-25'!C129</f>
        <v>0</v>
      </c>
      <c r="D129">
        <f>'DEZEMBRO-25'!D129</f>
        <v>0</v>
      </c>
    </row>
    <row r="130" spans="1:4" hidden="1">
      <c r="A130" s="11">
        <f>'DEZEMBRO-25'!A130</f>
        <v>0</v>
      </c>
      <c r="B130" s="14">
        <f>'DEZEMBRO-25'!G130</f>
        <v>0</v>
      </c>
      <c r="C130" s="14">
        <f>'DEZEMBRO-25'!C130</f>
        <v>0</v>
      </c>
      <c r="D130">
        <f>'DEZEMBRO-25'!D130</f>
        <v>0</v>
      </c>
    </row>
    <row r="131" spans="1:4" hidden="1">
      <c r="A131" s="11">
        <f>'DEZEMBRO-25'!A131</f>
        <v>0</v>
      </c>
      <c r="B131" s="14">
        <f>'DEZEMBRO-25'!G131</f>
        <v>0</v>
      </c>
      <c r="C131" s="14">
        <f>'DEZEMBRO-25'!C131</f>
        <v>0</v>
      </c>
      <c r="D131">
        <f>'DEZEMBRO-25'!D131</f>
        <v>0</v>
      </c>
    </row>
    <row r="132" spans="1:4" hidden="1">
      <c r="A132" s="11">
        <f>'DEZEMBRO-25'!A132</f>
        <v>0</v>
      </c>
      <c r="B132" s="14">
        <f>'DEZEMBRO-25'!G132</f>
        <v>0</v>
      </c>
      <c r="C132" s="14">
        <f>'DEZEMBRO-25'!C132</f>
        <v>0</v>
      </c>
      <c r="D132">
        <f>'DEZEMBRO-25'!D132</f>
        <v>0</v>
      </c>
    </row>
    <row r="133" spans="1:4" hidden="1">
      <c r="A133" s="11">
        <f>'DEZEMBRO-25'!A133</f>
        <v>0</v>
      </c>
      <c r="B133" s="14">
        <f>'DEZEMBRO-25'!G133</f>
        <v>0</v>
      </c>
      <c r="C133" s="14">
        <f>'DEZEMBRO-25'!C133</f>
        <v>0</v>
      </c>
      <c r="D133">
        <f>'DEZEMBRO-25'!D133</f>
        <v>0</v>
      </c>
    </row>
    <row r="134" spans="1:4" hidden="1">
      <c r="A134" s="11">
        <f>'DEZEMBRO-25'!A134</f>
        <v>0</v>
      </c>
      <c r="B134" s="14">
        <f>'DEZEMBRO-25'!G134</f>
        <v>0</v>
      </c>
      <c r="C134" s="14">
        <f>'DEZEMBRO-25'!C134</f>
        <v>0</v>
      </c>
      <c r="D134">
        <f>'DEZEMBRO-25'!D134</f>
        <v>0</v>
      </c>
    </row>
    <row r="135" spans="1:4" hidden="1">
      <c r="A135" s="11">
        <f>'DEZEMBRO-25'!A135</f>
        <v>0</v>
      </c>
      <c r="B135" s="14">
        <f>'DEZEMBRO-25'!G135</f>
        <v>0</v>
      </c>
      <c r="C135" s="14">
        <f>'DEZEMBRO-25'!C135</f>
        <v>0</v>
      </c>
      <c r="D135">
        <f>'DEZEMBRO-25'!D135</f>
        <v>0</v>
      </c>
    </row>
    <row r="136" spans="1:4" hidden="1">
      <c r="A136" s="11">
        <f>'DEZEMBRO-25'!A136</f>
        <v>0</v>
      </c>
      <c r="B136" s="14">
        <f>'DEZEMBRO-25'!G136</f>
        <v>0</v>
      </c>
      <c r="C136" s="14">
        <f>'DEZEMBRO-25'!C136</f>
        <v>0</v>
      </c>
      <c r="D136">
        <f>'DEZEMBRO-25'!D136</f>
        <v>0</v>
      </c>
    </row>
    <row r="137" spans="1:4" hidden="1">
      <c r="A137" s="11">
        <f>'DEZEMBRO-25'!A137</f>
        <v>0</v>
      </c>
      <c r="B137" s="14">
        <f>'DEZEMBRO-25'!G137</f>
        <v>0</v>
      </c>
      <c r="C137" s="14">
        <f>'DEZEMBRO-25'!C137</f>
        <v>0</v>
      </c>
      <c r="D137">
        <f>'DEZEMBRO-25'!D137</f>
        <v>0</v>
      </c>
    </row>
    <row r="138" spans="1:4" hidden="1">
      <c r="A138" s="11">
        <f>'DEZEMBRO-25'!A138</f>
        <v>0</v>
      </c>
      <c r="B138" s="14">
        <f>'DEZEMBRO-25'!G138</f>
        <v>0</v>
      </c>
      <c r="C138" s="14">
        <f>'DEZEMBRO-25'!C138</f>
        <v>0</v>
      </c>
      <c r="D138">
        <f>'DEZEMBRO-25'!D138</f>
        <v>0</v>
      </c>
    </row>
    <row r="139" spans="1:4" hidden="1">
      <c r="A139" s="11">
        <f>'DEZEMBRO-25'!A139</f>
        <v>0</v>
      </c>
      <c r="B139" s="14">
        <f>'DEZEMBRO-25'!G139</f>
        <v>0</v>
      </c>
      <c r="C139" s="14">
        <f>'DEZEMBRO-25'!C139</f>
        <v>0</v>
      </c>
      <c r="D139">
        <f>'DEZEMBRO-25'!D139</f>
        <v>0</v>
      </c>
    </row>
    <row r="140" spans="1:4" hidden="1">
      <c r="A140" s="11">
        <f>'DEZEMBRO-25'!A140</f>
        <v>0</v>
      </c>
      <c r="B140" s="14">
        <f>'DEZEMBRO-25'!G140</f>
        <v>0</v>
      </c>
      <c r="C140" s="14">
        <f>'DEZEMBRO-25'!C140</f>
        <v>0</v>
      </c>
      <c r="D140">
        <f>'DEZEMBRO-25'!D140</f>
        <v>0</v>
      </c>
    </row>
    <row r="141" spans="1:4" hidden="1">
      <c r="A141" s="11">
        <f>'DEZEMBRO-25'!A141</f>
        <v>0</v>
      </c>
      <c r="B141" s="14">
        <f>'DEZEMBRO-25'!G141</f>
        <v>0</v>
      </c>
      <c r="C141" s="14">
        <f>'DEZEMBRO-25'!C141</f>
        <v>0</v>
      </c>
      <c r="D141">
        <f>'DEZEMBRO-25'!D141</f>
        <v>0</v>
      </c>
    </row>
    <row r="142" spans="1:4" hidden="1">
      <c r="A142" s="11">
        <f>'DEZEMBRO-25'!A142</f>
        <v>0</v>
      </c>
      <c r="B142" s="14">
        <f>'DEZEMBRO-25'!G142</f>
        <v>0</v>
      </c>
      <c r="C142" s="14">
        <f>'DEZEMBRO-25'!C142</f>
        <v>0</v>
      </c>
      <c r="D142">
        <f>'DEZEMBRO-25'!D142</f>
        <v>0</v>
      </c>
    </row>
    <row r="143" spans="1:4" hidden="1">
      <c r="A143" s="11">
        <f>'DEZEMBRO-25'!A143</f>
        <v>0</v>
      </c>
      <c r="B143" s="14">
        <f>'DEZEMBRO-25'!G143</f>
        <v>0</v>
      </c>
      <c r="C143" s="14">
        <f>'DEZEMBRO-25'!C143</f>
        <v>0</v>
      </c>
      <c r="D143">
        <f>'DEZEMBRO-25'!D143</f>
        <v>0</v>
      </c>
    </row>
    <row r="144" spans="1:4" hidden="1">
      <c r="A144" s="11">
        <f>'DEZEMBRO-25'!A144</f>
        <v>0</v>
      </c>
      <c r="B144" s="14">
        <f>'DEZEMBRO-25'!G144</f>
        <v>0</v>
      </c>
      <c r="C144" s="14">
        <f>'DEZEMBRO-25'!C144</f>
        <v>0</v>
      </c>
      <c r="D144">
        <f>'DEZEMBRO-25'!D144</f>
        <v>0</v>
      </c>
    </row>
    <row r="145" spans="1:4" hidden="1">
      <c r="A145" s="11">
        <f>'DEZEMBRO-25'!A145</f>
        <v>0</v>
      </c>
      <c r="B145" s="14">
        <f>'DEZEMBRO-25'!G145</f>
        <v>0</v>
      </c>
      <c r="C145" s="14">
        <f>'DEZEMBRO-25'!C145</f>
        <v>0</v>
      </c>
      <c r="D145">
        <f>'DEZEMBRO-25'!D145</f>
        <v>0</v>
      </c>
    </row>
    <row r="146" spans="1:4" hidden="1">
      <c r="A146" s="11">
        <f>'DEZEMBRO-25'!A146</f>
        <v>0</v>
      </c>
      <c r="B146" s="14">
        <f>'DEZEMBRO-25'!G146</f>
        <v>0</v>
      </c>
      <c r="C146" s="14">
        <f>'DEZEMBRO-25'!C146</f>
        <v>0</v>
      </c>
      <c r="D146">
        <f>'DEZEMBRO-25'!D146</f>
        <v>0</v>
      </c>
    </row>
    <row r="147" spans="1:4" hidden="1">
      <c r="A147" s="11">
        <f>'DEZEMBRO-25'!A147</f>
        <v>0</v>
      </c>
      <c r="B147" s="14">
        <f>'DEZEMBRO-25'!G147</f>
        <v>0</v>
      </c>
      <c r="C147" s="14">
        <f>'DEZEMBRO-25'!C147</f>
        <v>0</v>
      </c>
      <c r="D147">
        <f>'DEZEMBRO-25'!D147</f>
        <v>0</v>
      </c>
    </row>
    <row r="148" spans="1:4" hidden="1">
      <c r="A148" s="11">
        <f>'DEZEMBRO-25'!A148</f>
        <v>0</v>
      </c>
      <c r="B148" s="14">
        <f>'DEZEMBRO-25'!G148</f>
        <v>0</v>
      </c>
      <c r="C148" s="14">
        <f>'DEZEMBRO-25'!C148</f>
        <v>0</v>
      </c>
      <c r="D148">
        <f>'DEZEMBRO-25'!D148</f>
        <v>0</v>
      </c>
    </row>
    <row r="149" spans="1:4" hidden="1">
      <c r="A149" s="11">
        <f>'DEZEMBRO-25'!A149</f>
        <v>0</v>
      </c>
      <c r="B149" s="14">
        <f>'DEZEMBRO-25'!G149</f>
        <v>0</v>
      </c>
      <c r="C149" s="14">
        <f>'DEZEMBRO-25'!C149</f>
        <v>0</v>
      </c>
      <c r="D149">
        <f>'DEZEMBRO-25'!D149</f>
        <v>0</v>
      </c>
    </row>
    <row r="150" spans="1:4" hidden="1">
      <c r="A150" s="11">
        <f>'DEZEMBRO-25'!A150</f>
        <v>0</v>
      </c>
      <c r="B150" s="14">
        <f>'DEZEMBRO-25'!G150</f>
        <v>0</v>
      </c>
      <c r="C150" s="14">
        <f>'DEZEMBRO-25'!C150</f>
        <v>0</v>
      </c>
      <c r="D150">
        <f>'DEZEMBRO-25'!D150</f>
        <v>0</v>
      </c>
    </row>
    <row r="151" spans="1:4" hidden="1">
      <c r="A151" s="11">
        <f>'DEZEMBRO-25'!A151</f>
        <v>0</v>
      </c>
      <c r="B151" s="14">
        <f>'DEZEMBRO-25'!G151</f>
        <v>0</v>
      </c>
      <c r="C151" s="14">
        <f>'DEZEMBRO-25'!C151</f>
        <v>0</v>
      </c>
      <c r="D151">
        <f>'DEZEMBRO-25'!D151</f>
        <v>0</v>
      </c>
    </row>
    <row r="152" spans="1:4" hidden="1">
      <c r="A152" s="11">
        <f>'DEZEMBRO-25'!A152</f>
        <v>0</v>
      </c>
      <c r="B152" s="14">
        <f>'DEZEMBRO-25'!G152</f>
        <v>0</v>
      </c>
      <c r="C152" s="14">
        <f>'DEZEMBRO-25'!C152</f>
        <v>0</v>
      </c>
      <c r="D152">
        <f>'DEZEMBRO-25'!D152</f>
        <v>0</v>
      </c>
    </row>
    <row r="153" spans="1:4" hidden="1">
      <c r="A153" s="11">
        <f>'DEZEMBRO-25'!A153</f>
        <v>0</v>
      </c>
      <c r="B153" s="14">
        <f>'DEZEMBRO-25'!G153</f>
        <v>0</v>
      </c>
      <c r="C153" s="14">
        <f>'DEZEMBRO-25'!C153</f>
        <v>0</v>
      </c>
      <c r="D153">
        <f>'DEZEMBRO-25'!D153</f>
        <v>0</v>
      </c>
    </row>
    <row r="154" spans="1:4" hidden="1">
      <c r="A154" s="11">
        <f>'DEZEMBRO-25'!A154</f>
        <v>0</v>
      </c>
      <c r="B154" s="14">
        <f>'DEZEMBRO-25'!G154</f>
        <v>0</v>
      </c>
      <c r="C154" s="14">
        <f>'DEZEMBRO-25'!C154</f>
        <v>0</v>
      </c>
      <c r="D154">
        <f>'DEZEMBRO-25'!D154</f>
        <v>0</v>
      </c>
    </row>
    <row r="155" spans="1:4" hidden="1">
      <c r="A155" s="11">
        <f>'DEZEMBRO-25'!A155</f>
        <v>0</v>
      </c>
      <c r="B155" s="14">
        <f>'DEZEMBRO-25'!G155</f>
        <v>0</v>
      </c>
      <c r="C155" s="14">
        <f>'DEZEMBRO-25'!C155</f>
        <v>0</v>
      </c>
      <c r="D155">
        <f>'DEZEMBRO-25'!D155</f>
        <v>0</v>
      </c>
    </row>
    <row r="156" spans="1:4" hidden="1">
      <c r="A156" s="11">
        <f>'DEZEMBRO-25'!A156</f>
        <v>0</v>
      </c>
      <c r="B156" s="14">
        <f>'DEZEMBRO-25'!G156</f>
        <v>0</v>
      </c>
      <c r="C156" s="14">
        <f>'DEZEMBRO-25'!C156</f>
        <v>0</v>
      </c>
      <c r="D156">
        <f>'DEZEMBRO-25'!D156</f>
        <v>0</v>
      </c>
    </row>
    <row r="157" spans="1:4" hidden="1">
      <c r="A157" s="11">
        <f>'DEZEMBRO-25'!A157</f>
        <v>0</v>
      </c>
      <c r="B157" s="14">
        <f>'DEZEMBRO-25'!G157</f>
        <v>0</v>
      </c>
      <c r="C157" s="14">
        <f>'DEZEMBRO-25'!C157</f>
        <v>0</v>
      </c>
      <c r="D157">
        <f>'DEZEMBRO-25'!D157</f>
        <v>0</v>
      </c>
    </row>
    <row r="158" spans="1:4" hidden="1">
      <c r="A158" s="11">
        <f>'DEZEMBRO-25'!A158</f>
        <v>0</v>
      </c>
      <c r="B158" s="14">
        <f>'DEZEMBRO-25'!G158</f>
        <v>0</v>
      </c>
      <c r="C158" s="14">
        <f>'DEZEMBRO-25'!C158</f>
        <v>0</v>
      </c>
      <c r="D158">
        <f>'DEZEMBRO-25'!D158</f>
        <v>0</v>
      </c>
    </row>
    <row r="159" spans="1:4" hidden="1">
      <c r="A159" s="11">
        <f>'DEZEMBRO-25'!A159</f>
        <v>0</v>
      </c>
      <c r="B159" s="14">
        <f>'DEZEMBRO-25'!G159</f>
        <v>0</v>
      </c>
      <c r="C159" s="14">
        <f>'DEZEMBRO-25'!C159</f>
        <v>0</v>
      </c>
      <c r="D159">
        <f>'DEZEMBRO-25'!D159</f>
        <v>0</v>
      </c>
    </row>
    <row r="160" spans="1:4" hidden="1">
      <c r="A160" s="11">
        <f>'DEZEMBRO-25'!A160</f>
        <v>0</v>
      </c>
      <c r="B160" s="14">
        <f>'DEZEMBRO-25'!G160</f>
        <v>0</v>
      </c>
      <c r="C160" s="14">
        <f>'DEZEMBRO-25'!C160</f>
        <v>0</v>
      </c>
      <c r="D160">
        <f>'DEZEMBRO-25'!D160</f>
        <v>0</v>
      </c>
    </row>
    <row r="161" spans="1:4" hidden="1">
      <c r="A161" s="11">
        <f>'DEZEMBRO-25'!A161</f>
        <v>0</v>
      </c>
      <c r="B161" s="14">
        <f>'DEZEMBRO-25'!G161</f>
        <v>0</v>
      </c>
      <c r="C161" s="14">
        <f>'DEZEMBRO-25'!C161</f>
        <v>0</v>
      </c>
      <c r="D161">
        <f>'DEZEMBRO-25'!D161</f>
        <v>0</v>
      </c>
    </row>
    <row r="162" spans="1:4" hidden="1">
      <c r="A162" s="11">
        <f>'DEZEMBRO-25'!A162</f>
        <v>0</v>
      </c>
      <c r="B162" s="14">
        <f>'DEZEMBRO-25'!G162</f>
        <v>0</v>
      </c>
      <c r="C162" s="14">
        <f>'DEZEMBRO-25'!C162</f>
        <v>0</v>
      </c>
      <c r="D162">
        <f>'DEZEMBRO-25'!D162</f>
        <v>0</v>
      </c>
    </row>
    <row r="163" spans="1:4" hidden="1">
      <c r="A163" s="11">
        <f>'DEZEMBRO-25'!A163</f>
        <v>0</v>
      </c>
      <c r="B163" s="14">
        <f>'DEZEMBRO-25'!G163</f>
        <v>0</v>
      </c>
      <c r="C163" s="14">
        <f>'DEZEMBRO-25'!C163</f>
        <v>0</v>
      </c>
      <c r="D163">
        <f>'DEZEMBRO-25'!D163</f>
        <v>0</v>
      </c>
    </row>
    <row r="164" spans="1:4" hidden="1">
      <c r="A164" s="11">
        <f>'DEZEMBRO-25'!A164</f>
        <v>0</v>
      </c>
      <c r="B164" s="14">
        <f>'DEZEMBRO-25'!G164</f>
        <v>0</v>
      </c>
      <c r="C164" s="14">
        <f>'DEZEMBRO-25'!C164</f>
        <v>0</v>
      </c>
      <c r="D164">
        <f>'DEZEMBRO-25'!D164</f>
        <v>0</v>
      </c>
    </row>
    <row r="165" spans="1:4" hidden="1">
      <c r="A165" s="11">
        <f>'DEZEMBRO-25'!A165</f>
        <v>0</v>
      </c>
      <c r="B165" s="14">
        <f>'DEZEMBRO-25'!G165</f>
        <v>0</v>
      </c>
      <c r="C165" s="14">
        <f>'DEZEMBRO-25'!C165</f>
        <v>0</v>
      </c>
      <c r="D165">
        <f>'DEZEMBRO-25'!D165</f>
        <v>0</v>
      </c>
    </row>
    <row r="166" spans="1:4" hidden="1">
      <c r="A166" s="11">
        <f>'DEZEMBRO-25'!A166</f>
        <v>0</v>
      </c>
      <c r="B166" s="14">
        <f>'DEZEMBRO-25'!G166</f>
        <v>0</v>
      </c>
      <c r="C166" s="14">
        <f>'DEZEMBRO-25'!C166</f>
        <v>0</v>
      </c>
      <c r="D166">
        <f>'DEZEMBRO-25'!D166</f>
        <v>0</v>
      </c>
    </row>
    <row r="167" spans="1:4" hidden="1">
      <c r="A167" s="11">
        <f>'DEZEMBRO-25'!A167</f>
        <v>0</v>
      </c>
      <c r="B167" s="14">
        <f>'DEZEMBRO-25'!G167</f>
        <v>0</v>
      </c>
      <c r="C167" s="14">
        <f>'DEZEMBRO-25'!C167</f>
        <v>0</v>
      </c>
      <c r="D167">
        <f>'DEZEMBRO-25'!D167</f>
        <v>0</v>
      </c>
    </row>
    <row r="168" spans="1:4" hidden="1">
      <c r="A168" s="11">
        <f>'DEZEMBRO-25'!A168</f>
        <v>0</v>
      </c>
      <c r="B168" s="14">
        <f>'DEZEMBRO-25'!G168</f>
        <v>0</v>
      </c>
      <c r="C168" s="14">
        <f>'DEZEMBRO-25'!C168</f>
        <v>0</v>
      </c>
      <c r="D168">
        <f>'DEZEMBRO-25'!D168</f>
        <v>0</v>
      </c>
    </row>
    <row r="169" spans="1:4" hidden="1">
      <c r="A169" s="11">
        <f>'DEZEMBRO-25'!A169</f>
        <v>0</v>
      </c>
      <c r="B169" s="14">
        <f>'DEZEMBRO-25'!G169</f>
        <v>0</v>
      </c>
      <c r="C169" s="14">
        <f>'DEZEMBRO-25'!C169</f>
        <v>0</v>
      </c>
      <c r="D169">
        <f>'DEZEMBRO-25'!D169</f>
        <v>0</v>
      </c>
    </row>
    <row r="170" spans="1:4" hidden="1">
      <c r="A170" s="11">
        <f>'DEZEMBRO-25'!A170</f>
        <v>0</v>
      </c>
      <c r="B170" s="14">
        <f>'DEZEMBRO-25'!G170</f>
        <v>0</v>
      </c>
      <c r="C170" s="14">
        <f>'DEZEMBRO-25'!C170</f>
        <v>0</v>
      </c>
      <c r="D170">
        <f>'DEZEMBRO-25'!D170</f>
        <v>0</v>
      </c>
    </row>
    <row r="171" spans="1:4" hidden="1">
      <c r="A171" s="11">
        <f>'DEZEMBRO-25'!A171</f>
        <v>0</v>
      </c>
      <c r="B171" s="14">
        <f>'DEZEMBRO-25'!G171</f>
        <v>0</v>
      </c>
      <c r="C171" s="14">
        <f>'DEZEMBRO-25'!C171</f>
        <v>0</v>
      </c>
      <c r="D171">
        <f>'DEZEMBRO-25'!D171</f>
        <v>0</v>
      </c>
    </row>
    <row r="172" spans="1:4" hidden="1">
      <c r="A172" s="11">
        <f>'DEZEMBRO-25'!A172</f>
        <v>0</v>
      </c>
      <c r="B172" s="14">
        <f>'DEZEMBRO-25'!G172</f>
        <v>0</v>
      </c>
      <c r="C172" s="14">
        <f>'DEZEMBRO-25'!C172</f>
        <v>0</v>
      </c>
      <c r="D172">
        <f>'DEZEMBRO-25'!D172</f>
        <v>0</v>
      </c>
    </row>
    <row r="173" spans="1:4" hidden="1">
      <c r="A173" s="11">
        <f>'DEZEMBRO-25'!A173</f>
        <v>0</v>
      </c>
      <c r="B173" s="14">
        <f>'DEZEMBRO-25'!G173</f>
        <v>0</v>
      </c>
      <c r="C173" s="14">
        <f>'DEZEMBRO-25'!C173</f>
        <v>0</v>
      </c>
      <c r="D173">
        <f>'DEZEMBRO-25'!D173</f>
        <v>0</v>
      </c>
    </row>
    <row r="174" spans="1:4" hidden="1">
      <c r="A174" s="11">
        <f>'DEZEMBRO-25'!A174</f>
        <v>0</v>
      </c>
      <c r="B174" s="14">
        <f>'DEZEMBRO-25'!G174</f>
        <v>0</v>
      </c>
      <c r="C174" s="14">
        <f>'DEZEMBRO-25'!C174</f>
        <v>0</v>
      </c>
      <c r="D174">
        <f>'DEZEMBRO-25'!D174</f>
        <v>0</v>
      </c>
    </row>
    <row r="175" spans="1:4" hidden="1">
      <c r="A175" s="11">
        <f>'DEZEMBRO-25'!A175</f>
        <v>0</v>
      </c>
      <c r="B175" s="14">
        <f>'DEZEMBRO-25'!G175</f>
        <v>0</v>
      </c>
      <c r="C175" s="14">
        <f>'DEZEMBRO-25'!C175</f>
        <v>0</v>
      </c>
      <c r="D175">
        <f>'DEZEMBRO-25'!D175</f>
        <v>0</v>
      </c>
    </row>
    <row r="176" spans="1:4" hidden="1">
      <c r="A176" s="11">
        <f>'DEZEMBRO-25'!A176</f>
        <v>0</v>
      </c>
      <c r="B176" s="14">
        <f>'DEZEMBRO-25'!G176</f>
        <v>0</v>
      </c>
      <c r="C176" s="14">
        <f>'DEZEMBRO-25'!C176</f>
        <v>0</v>
      </c>
      <c r="D176">
        <f>'DEZEMBRO-25'!D176</f>
        <v>0</v>
      </c>
    </row>
    <row r="177" spans="1:4" hidden="1">
      <c r="A177" s="11">
        <f>'DEZEMBRO-25'!A177</f>
        <v>0</v>
      </c>
      <c r="B177" s="14">
        <f>'DEZEMBRO-25'!G177</f>
        <v>0</v>
      </c>
      <c r="C177" s="14">
        <f>'DEZEMBRO-25'!C177</f>
        <v>0</v>
      </c>
      <c r="D177">
        <f>'DEZEMBRO-25'!D177</f>
        <v>0</v>
      </c>
    </row>
    <row r="178" spans="1:4" hidden="1">
      <c r="A178" s="11">
        <f>'DEZEMBRO-25'!A178</f>
        <v>0</v>
      </c>
      <c r="B178" s="14">
        <f>'DEZEMBRO-25'!G178</f>
        <v>0</v>
      </c>
      <c r="C178" s="14">
        <f>'DEZEMBRO-25'!C178</f>
        <v>0</v>
      </c>
      <c r="D178">
        <f>'DEZEMBRO-25'!D178</f>
        <v>0</v>
      </c>
    </row>
    <row r="179" spans="1:4" hidden="1">
      <c r="A179" s="11">
        <f>'DEZEMBRO-25'!A179</f>
        <v>0</v>
      </c>
      <c r="B179" s="14">
        <f>'DEZEMBRO-25'!G179</f>
        <v>0</v>
      </c>
      <c r="C179" s="14">
        <f>'DEZEMBRO-25'!C179</f>
        <v>0</v>
      </c>
      <c r="D179">
        <f>'DEZEMBRO-25'!D179</f>
        <v>0</v>
      </c>
    </row>
    <row r="180" spans="1:4" hidden="1">
      <c r="A180" s="11">
        <f>'DEZEMBRO-25'!A180</f>
        <v>0</v>
      </c>
      <c r="B180" s="14">
        <f>'DEZEMBRO-25'!G180</f>
        <v>0</v>
      </c>
      <c r="C180" s="14">
        <f>'DEZEMBRO-25'!C180</f>
        <v>0</v>
      </c>
      <c r="D180">
        <f>'DEZEMBRO-25'!D180</f>
        <v>0</v>
      </c>
    </row>
    <row r="181" spans="1:4" hidden="1">
      <c r="A181" s="11">
        <f>'DEZEMBRO-25'!A181</f>
        <v>0</v>
      </c>
      <c r="B181" s="14">
        <f>'DEZEMBRO-25'!G181</f>
        <v>0</v>
      </c>
      <c r="C181" s="14">
        <f>'DEZEMBRO-25'!C181</f>
        <v>0</v>
      </c>
      <c r="D181">
        <f>'DEZEMBRO-25'!D181</f>
        <v>0</v>
      </c>
    </row>
    <row r="182" spans="1:4" hidden="1">
      <c r="A182" s="11">
        <f>'DEZEMBRO-25'!A182</f>
        <v>0</v>
      </c>
      <c r="B182" s="14">
        <f>'DEZEMBRO-25'!G182</f>
        <v>0</v>
      </c>
      <c r="C182" s="14">
        <f>'DEZEMBRO-25'!C182</f>
        <v>0</v>
      </c>
      <c r="D182">
        <f>'DEZEMBRO-25'!D182</f>
        <v>0</v>
      </c>
    </row>
    <row r="183" spans="1:4" hidden="1">
      <c r="A183" s="11">
        <f>'DEZEMBRO-25'!A183</f>
        <v>0</v>
      </c>
      <c r="B183" s="14">
        <f>'DEZEMBRO-25'!G183</f>
        <v>0</v>
      </c>
      <c r="C183" s="14">
        <f>'DEZEMBRO-25'!C183</f>
        <v>0</v>
      </c>
      <c r="D183">
        <f>'DEZEMBRO-25'!D183</f>
        <v>0</v>
      </c>
    </row>
    <row r="184" spans="1:4" hidden="1">
      <c r="A184" s="11">
        <f>'DEZEMBRO-25'!A184</f>
        <v>0</v>
      </c>
      <c r="B184" s="14">
        <f>'DEZEMBRO-25'!G184</f>
        <v>0</v>
      </c>
      <c r="C184" s="14">
        <f>'DEZEMBRO-25'!C184</f>
        <v>0</v>
      </c>
      <c r="D184">
        <f>'DEZEMBRO-25'!D184</f>
        <v>0</v>
      </c>
    </row>
    <row r="185" spans="1:4" hidden="1">
      <c r="A185" s="11">
        <f>'DEZEMBRO-25'!A185</f>
        <v>0</v>
      </c>
      <c r="B185" s="14">
        <f>'DEZEMBRO-25'!G185</f>
        <v>0</v>
      </c>
      <c r="C185" s="14">
        <f>'DEZEMBRO-25'!C185</f>
        <v>0</v>
      </c>
      <c r="D185">
        <f>'DEZEMBRO-25'!D185</f>
        <v>0</v>
      </c>
    </row>
    <row r="186" spans="1:4" hidden="1">
      <c r="A186" s="11">
        <f>'DEZEMBRO-25'!A186</f>
        <v>0</v>
      </c>
      <c r="B186" s="14">
        <f>'DEZEMBRO-25'!G186</f>
        <v>0</v>
      </c>
      <c r="C186" s="14">
        <f>'DEZEMBRO-25'!C186</f>
        <v>0</v>
      </c>
      <c r="D186">
        <f>'DEZEMBRO-25'!D186</f>
        <v>0</v>
      </c>
    </row>
    <row r="187" spans="1:4" hidden="1">
      <c r="A187" s="11">
        <f>'DEZEMBRO-25'!A187</f>
        <v>0</v>
      </c>
      <c r="B187" s="14">
        <f>'DEZEMBRO-25'!G187</f>
        <v>0</v>
      </c>
      <c r="C187" s="14">
        <f>'DEZEMBRO-25'!C187</f>
        <v>0</v>
      </c>
      <c r="D187">
        <f>'DEZEMBRO-25'!D187</f>
        <v>0</v>
      </c>
    </row>
    <row r="188" spans="1:4" hidden="1">
      <c r="A188" s="11">
        <f>'DEZEMBRO-25'!A188</f>
        <v>0</v>
      </c>
      <c r="B188" s="14">
        <f>'DEZEMBRO-25'!G188</f>
        <v>0</v>
      </c>
      <c r="C188" s="14">
        <f>'DEZEMBRO-25'!C188</f>
        <v>0</v>
      </c>
      <c r="D188">
        <f>'DEZEMBRO-25'!D188</f>
        <v>0</v>
      </c>
    </row>
    <row r="189" spans="1:4" hidden="1">
      <c r="A189" s="11">
        <f>'DEZEMBRO-25'!A189</f>
        <v>0</v>
      </c>
      <c r="B189" s="14">
        <f>'DEZEMBRO-25'!G189</f>
        <v>0</v>
      </c>
      <c r="C189" s="14">
        <f>'DEZEMBRO-25'!C189</f>
        <v>0</v>
      </c>
      <c r="D189">
        <f>'DEZEMBRO-25'!D189</f>
        <v>0</v>
      </c>
    </row>
    <row r="190" spans="1:4" hidden="1">
      <c r="A190" s="11">
        <f>'DEZEMBRO-25'!A190</f>
        <v>0</v>
      </c>
      <c r="B190" s="14">
        <f>'DEZEMBRO-25'!G190</f>
        <v>0</v>
      </c>
      <c r="C190" s="14">
        <f>'DEZEMBRO-25'!C190</f>
        <v>0</v>
      </c>
      <c r="D190">
        <f>'DEZEMBRO-25'!D190</f>
        <v>0</v>
      </c>
    </row>
    <row r="191" spans="1:4" hidden="1">
      <c r="A191" s="11">
        <f>'DEZEMBRO-25'!A191</f>
        <v>0</v>
      </c>
      <c r="B191" s="14">
        <f>'DEZEMBRO-25'!G191</f>
        <v>0</v>
      </c>
      <c r="C191" s="14">
        <f>'DEZEMBRO-25'!C191</f>
        <v>0</v>
      </c>
      <c r="D191">
        <f>'DEZEMBRO-25'!D191</f>
        <v>0</v>
      </c>
    </row>
    <row r="192" spans="1:4" hidden="1">
      <c r="A192" s="11">
        <f>'DEZEMBRO-25'!A192</f>
        <v>0</v>
      </c>
      <c r="B192" s="14">
        <f>'DEZEMBRO-25'!G192</f>
        <v>0</v>
      </c>
      <c r="C192" s="14">
        <f>'DEZEMBRO-25'!C192</f>
        <v>0</v>
      </c>
      <c r="D192">
        <f>'DEZEMBRO-25'!D192</f>
        <v>0</v>
      </c>
    </row>
    <row r="193" spans="1:4" hidden="1">
      <c r="A193" s="11">
        <f>'DEZEMBRO-25'!A193</f>
        <v>0</v>
      </c>
      <c r="B193" s="14">
        <f>'DEZEMBRO-25'!G193</f>
        <v>0</v>
      </c>
      <c r="C193" s="14">
        <f>'DEZEMBRO-25'!C193</f>
        <v>0</v>
      </c>
      <c r="D193">
        <f>'DEZEMBRO-25'!D193</f>
        <v>0</v>
      </c>
    </row>
    <row r="194" spans="1:4" hidden="1">
      <c r="A194" s="11">
        <f>'DEZEMBRO-25'!A194</f>
        <v>0</v>
      </c>
      <c r="B194" s="14">
        <f>'DEZEMBRO-25'!G194</f>
        <v>0</v>
      </c>
      <c r="C194" s="14">
        <f>'DEZEMBRO-25'!C194</f>
        <v>0</v>
      </c>
      <c r="D194">
        <f>'DEZEMBRO-25'!D194</f>
        <v>0</v>
      </c>
    </row>
    <row r="195" spans="1:4" hidden="1">
      <c r="A195" s="11">
        <f>'DEZEMBRO-25'!A195</f>
        <v>0</v>
      </c>
      <c r="B195" s="14">
        <f>'DEZEMBRO-25'!G195</f>
        <v>0</v>
      </c>
      <c r="C195" s="14">
        <f>'DEZEMBRO-25'!C195</f>
        <v>0</v>
      </c>
      <c r="D195">
        <f>'DEZEMBRO-25'!D195</f>
        <v>0</v>
      </c>
    </row>
    <row r="196" spans="1:4" hidden="1">
      <c r="A196" s="11">
        <f>'DEZEMBRO-25'!A196</f>
        <v>0</v>
      </c>
      <c r="B196" s="14">
        <f>'DEZEMBRO-25'!G196</f>
        <v>0</v>
      </c>
      <c r="C196" s="14">
        <f>'DEZEMBRO-25'!C196</f>
        <v>0</v>
      </c>
      <c r="D196">
        <f>'DEZEMBRO-25'!D196</f>
        <v>0</v>
      </c>
    </row>
    <row r="197" spans="1:4" hidden="1">
      <c r="A197" s="11">
        <f>'DEZEMBRO-25'!A197</f>
        <v>0</v>
      </c>
      <c r="B197" s="14">
        <f>'DEZEMBRO-25'!G197</f>
        <v>0</v>
      </c>
      <c r="C197" s="14">
        <f>'DEZEMBRO-25'!C197</f>
        <v>0</v>
      </c>
      <c r="D197">
        <f>'DEZEMBRO-25'!D197</f>
        <v>0</v>
      </c>
    </row>
    <row r="198" spans="1:4" hidden="1">
      <c r="A198" s="11">
        <f>'DEZEMBRO-25'!A198</f>
        <v>0</v>
      </c>
      <c r="B198" s="14">
        <f>'DEZEMBRO-25'!G198</f>
        <v>0</v>
      </c>
      <c r="C198" s="14">
        <f>'DEZEMBRO-25'!C198</f>
        <v>0</v>
      </c>
      <c r="D198">
        <f>'DEZEMBRO-25'!D198</f>
        <v>0</v>
      </c>
    </row>
    <row r="199" spans="1:4" hidden="1">
      <c r="A199" s="11">
        <f>'DEZEMBRO-25'!A199</f>
        <v>0</v>
      </c>
      <c r="B199" s="14">
        <f>'DEZEMBRO-25'!G199</f>
        <v>0</v>
      </c>
      <c r="C199" s="14">
        <f>'DEZEMBRO-25'!C199</f>
        <v>0</v>
      </c>
      <c r="D199">
        <f>'DEZEMBRO-25'!D199</f>
        <v>0</v>
      </c>
    </row>
    <row r="200" spans="1:4" hidden="1">
      <c r="A200" s="11">
        <f>'DEZEMBRO-25'!A200</f>
        <v>0</v>
      </c>
      <c r="B200" s="14">
        <f>'DEZEMBRO-25'!G200</f>
        <v>0</v>
      </c>
      <c r="C200" s="14">
        <f>'DEZEMBRO-25'!C200</f>
        <v>0</v>
      </c>
      <c r="D200">
        <f>'DEZEMBRO-25'!D200</f>
        <v>0</v>
      </c>
    </row>
    <row r="201" spans="1:4" hidden="1">
      <c r="A201" s="11">
        <f>'DEZEMBRO-25'!A201</f>
        <v>0</v>
      </c>
      <c r="B201" s="14">
        <f>'DEZEMBRO-25'!G201</f>
        <v>0</v>
      </c>
      <c r="C201" s="14">
        <f>'DEZEMBRO-25'!C201</f>
        <v>0</v>
      </c>
      <c r="D201">
        <f>'DEZEMBRO-25'!D201</f>
        <v>0</v>
      </c>
    </row>
    <row r="202" spans="1:4" hidden="1">
      <c r="A202" s="11">
        <f>'DEZEMBRO-25'!A202</f>
        <v>0</v>
      </c>
      <c r="B202" s="14">
        <f>'DEZEMBRO-25'!G202</f>
        <v>0</v>
      </c>
      <c r="C202" s="14">
        <f>'DEZEMBRO-25'!C202</f>
        <v>0</v>
      </c>
      <c r="D202">
        <f>'DEZEMBRO-25'!D202</f>
        <v>0</v>
      </c>
    </row>
    <row r="203" spans="1:4" hidden="1">
      <c r="A203" s="11">
        <f>'DEZEMBRO-25'!A203</f>
        <v>0</v>
      </c>
      <c r="B203" s="14">
        <f>'DEZEMBRO-25'!G203</f>
        <v>0</v>
      </c>
      <c r="C203" s="14">
        <f>'DEZEMBRO-25'!C203</f>
        <v>0</v>
      </c>
      <c r="D203">
        <f>'DEZEMBRO-25'!D203</f>
        <v>0</v>
      </c>
    </row>
    <row r="204" spans="1:4" hidden="1">
      <c r="A204" s="11">
        <f>'DEZEMBRO-25'!A204</f>
        <v>0</v>
      </c>
      <c r="B204" s="14">
        <f>'DEZEMBRO-25'!G204</f>
        <v>0</v>
      </c>
      <c r="C204" s="14">
        <f>'DEZEMBRO-25'!C204</f>
        <v>0</v>
      </c>
      <c r="D204">
        <f>'DEZEMBRO-25'!D204</f>
        <v>0</v>
      </c>
    </row>
    <row r="205" spans="1:4" hidden="1">
      <c r="A205" s="11">
        <f>'DEZEMBRO-25'!A205</f>
        <v>0</v>
      </c>
      <c r="B205" s="14">
        <f>'DEZEMBRO-25'!G205</f>
        <v>0</v>
      </c>
      <c r="C205" s="14">
        <f>'DEZEMBRO-25'!C205</f>
        <v>0</v>
      </c>
      <c r="D205">
        <f>'DEZEMBRO-25'!D205</f>
        <v>0</v>
      </c>
    </row>
    <row r="206" spans="1:4" hidden="1">
      <c r="A206" s="11">
        <f>'DEZEMBRO-25'!A206</f>
        <v>0</v>
      </c>
      <c r="B206" s="14">
        <f>'DEZEMBRO-25'!G206</f>
        <v>0</v>
      </c>
      <c r="C206" s="14">
        <f>'DEZEMBRO-25'!C206</f>
        <v>0</v>
      </c>
      <c r="D206">
        <f>'DEZEMBRO-25'!D206</f>
        <v>0</v>
      </c>
    </row>
    <row r="207" spans="1:4" hidden="1">
      <c r="A207" s="11">
        <f>'DEZEMBRO-25'!A207</f>
        <v>0</v>
      </c>
      <c r="B207" s="14">
        <f>'DEZEMBRO-25'!G207</f>
        <v>0</v>
      </c>
      <c r="C207" s="14">
        <f>'DEZEMBRO-25'!C207</f>
        <v>0</v>
      </c>
      <c r="D207">
        <f>'DEZEMBRO-25'!D207</f>
        <v>0</v>
      </c>
    </row>
    <row r="208" spans="1:4" hidden="1">
      <c r="A208" s="11">
        <f>'DEZEMBRO-25'!A208</f>
        <v>0</v>
      </c>
      <c r="B208" s="14">
        <f>'DEZEMBRO-25'!G208</f>
        <v>0</v>
      </c>
      <c r="C208" s="14">
        <f>'DEZEMBRO-25'!C208</f>
        <v>0</v>
      </c>
      <c r="D208">
        <f>'DEZEMBRO-25'!D208</f>
        <v>0</v>
      </c>
    </row>
    <row r="209" spans="1:4" hidden="1">
      <c r="A209" s="11">
        <f>'DEZEMBRO-25'!A209</f>
        <v>0</v>
      </c>
      <c r="B209" s="14">
        <f>'DEZEMBRO-25'!G209</f>
        <v>0</v>
      </c>
      <c r="C209" s="14">
        <f>'DEZEMBRO-25'!C209</f>
        <v>0</v>
      </c>
      <c r="D209">
        <f>'DEZEMBRO-25'!D209</f>
        <v>0</v>
      </c>
    </row>
    <row r="210" spans="1:4" hidden="1">
      <c r="A210" s="11">
        <f>'DEZEMBRO-25'!A210</f>
        <v>0</v>
      </c>
      <c r="B210" s="14">
        <f>'DEZEMBRO-25'!G210</f>
        <v>0</v>
      </c>
      <c r="C210" s="14">
        <f>'DEZEMBRO-25'!C210</f>
        <v>0</v>
      </c>
      <c r="D210">
        <f>'DEZEMBRO-25'!D210</f>
        <v>0</v>
      </c>
    </row>
    <row r="211" spans="1:4" hidden="1">
      <c r="A211" s="11">
        <f>'DEZEMBRO-25'!A211</f>
        <v>0</v>
      </c>
      <c r="B211" s="14">
        <f>'DEZEMBRO-25'!G211</f>
        <v>0</v>
      </c>
      <c r="C211" s="14">
        <f>'DEZEMBRO-25'!C211</f>
        <v>0</v>
      </c>
      <c r="D211">
        <f>'DEZEMBRO-25'!D211</f>
        <v>0</v>
      </c>
    </row>
    <row r="212" spans="1:4" hidden="1">
      <c r="A212" s="11">
        <f>'DEZEMBRO-25'!A212</f>
        <v>0</v>
      </c>
      <c r="B212" s="14">
        <f>'DEZEMBRO-25'!G212</f>
        <v>0</v>
      </c>
      <c r="C212" s="14">
        <f>'DEZEMBRO-25'!C212</f>
        <v>0</v>
      </c>
      <c r="D212">
        <f>'DEZEMBRO-25'!D212</f>
        <v>0</v>
      </c>
    </row>
    <row r="213" spans="1:4" hidden="1">
      <c r="A213" s="11">
        <f>'DEZEMBRO-25'!A213</f>
        <v>0</v>
      </c>
      <c r="B213" s="14">
        <f>'DEZEMBRO-25'!G213</f>
        <v>0</v>
      </c>
      <c r="C213" s="14">
        <f>'DEZEMBRO-25'!C213</f>
        <v>0</v>
      </c>
      <c r="D213">
        <f>'DEZEMBRO-25'!D213</f>
        <v>0</v>
      </c>
    </row>
    <row r="214" spans="1:4" hidden="1">
      <c r="A214" s="11">
        <f>'DEZEMBRO-25'!A214</f>
        <v>0</v>
      </c>
      <c r="B214" s="14">
        <f>'DEZEMBRO-25'!G214</f>
        <v>0</v>
      </c>
      <c r="C214" s="14">
        <f>'DEZEMBRO-25'!C214</f>
        <v>0</v>
      </c>
      <c r="D214">
        <f>'DEZEMBRO-25'!D214</f>
        <v>0</v>
      </c>
    </row>
    <row r="215" spans="1:4" hidden="1">
      <c r="A215" s="11">
        <f>'DEZEMBRO-25'!A215</f>
        <v>0</v>
      </c>
      <c r="B215" s="14">
        <f>'DEZEMBRO-25'!G215</f>
        <v>0</v>
      </c>
      <c r="C215" s="14">
        <f>'DEZEMBRO-25'!C215</f>
        <v>0</v>
      </c>
      <c r="D215">
        <f>'DEZEMBRO-25'!D215</f>
        <v>0</v>
      </c>
    </row>
    <row r="216" spans="1:4" hidden="1">
      <c r="A216" s="11">
        <f>'DEZEMBRO-25'!A216</f>
        <v>0</v>
      </c>
      <c r="B216" s="14">
        <f>'DEZEMBRO-25'!G216</f>
        <v>0</v>
      </c>
      <c r="C216" s="14">
        <f>'DEZEMBRO-25'!C216</f>
        <v>0</v>
      </c>
      <c r="D216">
        <f>'DEZEMBRO-25'!D216</f>
        <v>0</v>
      </c>
    </row>
    <row r="217" spans="1:4" hidden="1">
      <c r="A217" s="11">
        <f>'DEZEMBRO-25'!A217</f>
        <v>0</v>
      </c>
      <c r="B217" s="14">
        <f>'DEZEMBRO-25'!G217</f>
        <v>0</v>
      </c>
      <c r="C217" s="14">
        <f>'DEZEMBRO-25'!C217</f>
        <v>0</v>
      </c>
      <c r="D217">
        <f>'DEZEMBRO-25'!D217</f>
        <v>0</v>
      </c>
    </row>
    <row r="218" spans="1:4" hidden="1">
      <c r="A218" s="11">
        <f>'DEZEMBRO-25'!A218</f>
        <v>0</v>
      </c>
      <c r="B218" s="14">
        <f>'DEZEMBRO-25'!G218</f>
        <v>0</v>
      </c>
      <c r="C218" s="14">
        <f>'DEZEMBRO-25'!C218</f>
        <v>0</v>
      </c>
      <c r="D218">
        <f>'DEZEMBRO-25'!D218</f>
        <v>0</v>
      </c>
    </row>
    <row r="219" spans="1:4" hidden="1">
      <c r="A219" s="11">
        <f>'DEZEMBRO-25'!A219</f>
        <v>0</v>
      </c>
      <c r="B219" s="14">
        <f>'DEZEMBRO-25'!G219</f>
        <v>0</v>
      </c>
      <c r="C219" s="14">
        <f>'DEZEMBRO-25'!C219</f>
        <v>0</v>
      </c>
      <c r="D219">
        <f>'DEZEMBRO-25'!D219</f>
        <v>0</v>
      </c>
    </row>
    <row r="220" spans="1:4" hidden="1">
      <c r="A220" s="11">
        <f>'DEZEMBRO-25'!A220</f>
        <v>0</v>
      </c>
      <c r="B220" s="14">
        <f>'DEZEMBRO-25'!G220</f>
        <v>0</v>
      </c>
      <c r="C220" s="14">
        <f>'DEZEMBRO-25'!C220</f>
        <v>0</v>
      </c>
      <c r="D220">
        <f>'DEZEMBRO-25'!D220</f>
        <v>0</v>
      </c>
    </row>
    <row r="221" spans="1:4" hidden="1">
      <c r="A221" s="11">
        <f>'DEZEMBRO-25'!A221</f>
        <v>0</v>
      </c>
      <c r="B221" s="14">
        <f>'DEZEMBRO-25'!G221</f>
        <v>0</v>
      </c>
      <c r="C221" s="14">
        <f>'DEZEMBRO-25'!C221</f>
        <v>0</v>
      </c>
      <c r="D221">
        <f>'DEZEMBRO-25'!D221</f>
        <v>0</v>
      </c>
    </row>
    <row r="222" spans="1:4" hidden="1">
      <c r="A222" s="11">
        <f>'DEZEMBRO-25'!A222</f>
        <v>0</v>
      </c>
      <c r="B222" s="14">
        <f>'DEZEMBRO-25'!G222</f>
        <v>0</v>
      </c>
      <c r="C222" s="14">
        <f>'DEZEMBRO-25'!C222</f>
        <v>0</v>
      </c>
      <c r="D222">
        <f>'DEZEMBRO-25'!D222</f>
        <v>0</v>
      </c>
    </row>
    <row r="223" spans="1:4" hidden="1">
      <c r="A223" s="11">
        <f>'DEZEMBRO-25'!A223</f>
        <v>0</v>
      </c>
      <c r="B223" s="14">
        <f>'DEZEMBRO-25'!G223</f>
        <v>0</v>
      </c>
      <c r="C223" s="14">
        <f>'DEZEMBRO-25'!C223</f>
        <v>0</v>
      </c>
      <c r="D223">
        <f>'DEZEMBRO-25'!D223</f>
        <v>0</v>
      </c>
    </row>
    <row r="224" spans="1:4" hidden="1">
      <c r="A224" s="11">
        <f>'DEZEMBRO-25'!A224</f>
        <v>0</v>
      </c>
      <c r="B224" s="14">
        <f>'DEZEMBRO-25'!G224</f>
        <v>0</v>
      </c>
      <c r="C224" s="14">
        <f>'DEZEMBRO-25'!C224</f>
        <v>0</v>
      </c>
      <c r="D224">
        <f>'DEZEMBRO-25'!D224</f>
        <v>0</v>
      </c>
    </row>
    <row r="225" spans="1:4" hidden="1">
      <c r="A225" s="11">
        <f>'DEZEMBRO-25'!A225</f>
        <v>0</v>
      </c>
      <c r="B225" s="14">
        <f>'DEZEMBRO-25'!G225</f>
        <v>0</v>
      </c>
      <c r="C225" s="14">
        <f>'DEZEMBRO-25'!C225</f>
        <v>0</v>
      </c>
      <c r="D225">
        <f>'DEZEMBRO-25'!D225</f>
        <v>0</v>
      </c>
    </row>
    <row r="226" spans="1:4" hidden="1">
      <c r="A226" s="11">
        <f>'DEZEMBRO-25'!A226</f>
        <v>0</v>
      </c>
      <c r="B226" s="14">
        <f>'DEZEMBRO-25'!G226</f>
        <v>0</v>
      </c>
      <c r="C226" s="14">
        <f>'DEZEMBRO-25'!C226</f>
        <v>0</v>
      </c>
      <c r="D226">
        <f>'DEZEMBRO-25'!D226</f>
        <v>0</v>
      </c>
    </row>
    <row r="227" spans="1:4" hidden="1">
      <c r="A227" s="11">
        <f>'DEZEMBRO-25'!A227</f>
        <v>0</v>
      </c>
      <c r="B227" s="14">
        <f>'DEZEMBRO-25'!G227</f>
        <v>0</v>
      </c>
      <c r="C227" s="14">
        <f>'DEZEMBRO-25'!C227</f>
        <v>0</v>
      </c>
      <c r="D227">
        <f>'DEZEMBRO-25'!D227</f>
        <v>0</v>
      </c>
    </row>
    <row r="228" spans="1:4" hidden="1">
      <c r="A228" s="11">
        <f>'DEZEMBRO-25'!A228</f>
        <v>0</v>
      </c>
      <c r="B228" s="14">
        <f>'DEZEMBRO-25'!G228</f>
        <v>0</v>
      </c>
      <c r="C228" s="14">
        <f>'DEZEMBRO-25'!C228</f>
        <v>0</v>
      </c>
      <c r="D228">
        <f>'DEZEMBRO-25'!D228</f>
        <v>0</v>
      </c>
    </row>
    <row r="229" spans="1:4" hidden="1">
      <c r="A229" s="11">
        <f>'DEZEMBRO-25'!A229</f>
        <v>0</v>
      </c>
      <c r="B229" s="14">
        <f>'DEZEMBRO-25'!G229</f>
        <v>0</v>
      </c>
      <c r="C229" s="14">
        <f>'DEZEMBRO-25'!C229</f>
        <v>0</v>
      </c>
      <c r="D229">
        <f>'DEZEMBRO-25'!D229</f>
        <v>0</v>
      </c>
    </row>
    <row r="230" spans="1:4" hidden="1">
      <c r="A230" s="11">
        <f>'DEZEMBRO-25'!A230</f>
        <v>0</v>
      </c>
      <c r="B230" s="14">
        <f>'DEZEMBRO-25'!G230</f>
        <v>0</v>
      </c>
      <c r="C230" s="14">
        <f>'DEZEMBRO-25'!C230</f>
        <v>0</v>
      </c>
      <c r="D230">
        <f>'DEZEMBRO-25'!D230</f>
        <v>0</v>
      </c>
    </row>
    <row r="231" spans="1:4" hidden="1">
      <c r="A231" s="11">
        <f>'DEZEMBRO-25'!A231</f>
        <v>0</v>
      </c>
      <c r="B231" s="14">
        <f>'DEZEMBRO-25'!G231</f>
        <v>0</v>
      </c>
      <c r="C231" s="14">
        <f>'DEZEMBRO-25'!C231</f>
        <v>0</v>
      </c>
      <c r="D231">
        <f>'DEZEMBRO-25'!D231</f>
        <v>0</v>
      </c>
    </row>
    <row r="232" spans="1:4" hidden="1">
      <c r="A232" s="11">
        <f>'DEZEMBRO-25'!A232</f>
        <v>0</v>
      </c>
      <c r="B232" s="14">
        <f>'DEZEMBRO-25'!G232</f>
        <v>0</v>
      </c>
      <c r="C232" s="14">
        <f>'DEZEMBRO-25'!C232</f>
        <v>0</v>
      </c>
      <c r="D232">
        <f>'DEZEMBRO-25'!D232</f>
        <v>0</v>
      </c>
    </row>
    <row r="233" spans="1:4" hidden="1">
      <c r="A233" s="11">
        <f>'DEZEMBRO-25'!A233</f>
        <v>0</v>
      </c>
      <c r="B233" s="14">
        <f>'DEZEMBRO-25'!G233</f>
        <v>0</v>
      </c>
      <c r="C233" s="14">
        <f>'DEZEMBRO-25'!C233</f>
        <v>0</v>
      </c>
      <c r="D233">
        <f>'DEZEMBRO-25'!D233</f>
        <v>0</v>
      </c>
    </row>
    <row r="234" spans="1:4" hidden="1">
      <c r="A234" s="11">
        <f>'DEZEMBRO-25'!A234</f>
        <v>0</v>
      </c>
      <c r="B234" s="14">
        <f>'DEZEMBRO-25'!G234</f>
        <v>0</v>
      </c>
      <c r="C234" s="14">
        <f>'DEZEMBRO-25'!C234</f>
        <v>0</v>
      </c>
      <c r="D234">
        <f>'DEZEMBRO-25'!D234</f>
        <v>0</v>
      </c>
    </row>
    <row r="235" spans="1:4" hidden="1">
      <c r="A235" s="11">
        <f>'DEZEMBRO-25'!A235</f>
        <v>0</v>
      </c>
      <c r="B235" s="14">
        <f>'DEZEMBRO-25'!G235</f>
        <v>0</v>
      </c>
      <c r="C235" s="14">
        <f>'DEZEMBRO-25'!C235</f>
        <v>0</v>
      </c>
      <c r="D235">
        <f>'DEZEMBRO-25'!D235</f>
        <v>0</v>
      </c>
    </row>
    <row r="236" spans="1:4" hidden="1">
      <c r="A236" s="11">
        <f>'DEZEMBRO-25'!A236</f>
        <v>0</v>
      </c>
      <c r="B236" s="14">
        <f>'DEZEMBRO-25'!G236</f>
        <v>0</v>
      </c>
      <c r="C236" s="14">
        <f>'DEZEMBRO-25'!C236</f>
        <v>0</v>
      </c>
      <c r="D236">
        <f>'DEZEMBRO-25'!D236</f>
        <v>0</v>
      </c>
    </row>
    <row r="237" spans="1:4" hidden="1">
      <c r="A237" s="11">
        <f>'DEZEMBRO-25'!A237</f>
        <v>0</v>
      </c>
      <c r="B237" s="14">
        <f>'DEZEMBRO-25'!G237</f>
        <v>0</v>
      </c>
      <c r="C237" s="14">
        <f>'DEZEMBRO-25'!C237</f>
        <v>0</v>
      </c>
      <c r="D237">
        <f>'DEZEMBRO-25'!D237</f>
        <v>0</v>
      </c>
    </row>
    <row r="238" spans="1:4" hidden="1">
      <c r="A238" s="11">
        <f>'DEZEMBRO-25'!A238</f>
        <v>0</v>
      </c>
      <c r="B238" s="14">
        <f>'DEZEMBRO-25'!G238</f>
        <v>0</v>
      </c>
      <c r="C238" s="14">
        <f>'DEZEMBRO-25'!C238</f>
        <v>0</v>
      </c>
      <c r="D238">
        <f>'DEZEMBRO-25'!D238</f>
        <v>0</v>
      </c>
    </row>
    <row r="239" spans="1:4" hidden="1">
      <c r="A239" s="11">
        <f>'DEZEMBRO-25'!A239</f>
        <v>0</v>
      </c>
      <c r="B239" s="14">
        <f>'DEZEMBRO-25'!G239</f>
        <v>0</v>
      </c>
      <c r="C239" s="14">
        <f>'DEZEMBRO-25'!C239</f>
        <v>0</v>
      </c>
      <c r="D239">
        <f>'DEZEMBRO-25'!D239</f>
        <v>0</v>
      </c>
    </row>
    <row r="240" spans="1:4" hidden="1">
      <c r="A240" s="11">
        <f>'DEZEMBRO-25'!A240</f>
        <v>0</v>
      </c>
      <c r="B240" s="14">
        <f>'DEZEMBRO-25'!G240</f>
        <v>0</v>
      </c>
      <c r="C240" s="14">
        <f>'DEZEMBRO-25'!C240</f>
        <v>0</v>
      </c>
      <c r="D240">
        <f>'DEZEMBRO-25'!D240</f>
        <v>0</v>
      </c>
    </row>
    <row r="241" spans="1:4" hidden="1">
      <c r="A241" s="11">
        <f>'DEZEMBRO-25'!A241</f>
        <v>0</v>
      </c>
      <c r="B241" s="14">
        <f>'DEZEMBRO-25'!G241</f>
        <v>0</v>
      </c>
      <c r="C241" s="14">
        <f>'DEZEMBRO-25'!C241</f>
        <v>0</v>
      </c>
      <c r="D241">
        <f>'DEZEMBRO-25'!D241</f>
        <v>0</v>
      </c>
    </row>
    <row r="242" spans="1:4" hidden="1">
      <c r="A242" s="11">
        <f>'DEZEMBRO-25'!A242</f>
        <v>0</v>
      </c>
      <c r="B242" s="14">
        <f>'DEZEMBRO-25'!G242</f>
        <v>0</v>
      </c>
      <c r="C242" s="14">
        <f>'DEZEMBRO-25'!C242</f>
        <v>0</v>
      </c>
      <c r="D242">
        <f>'DEZEMBRO-25'!D242</f>
        <v>0</v>
      </c>
    </row>
    <row r="243" spans="1:4" hidden="1">
      <c r="A243" s="11">
        <f>'DEZEMBRO-25'!A243</f>
        <v>0</v>
      </c>
      <c r="B243" s="14">
        <f>'DEZEMBRO-25'!G243</f>
        <v>0</v>
      </c>
      <c r="C243" s="14">
        <f>'DEZEMBRO-25'!C243</f>
        <v>0</v>
      </c>
      <c r="D243">
        <f>'DEZEMBRO-25'!D243</f>
        <v>0</v>
      </c>
    </row>
    <row r="244" spans="1:4" hidden="1">
      <c r="A244" s="11">
        <f>'DEZEMBRO-25'!A244</f>
        <v>0</v>
      </c>
      <c r="B244" s="14">
        <f>'DEZEMBRO-25'!G244</f>
        <v>0</v>
      </c>
      <c r="C244" s="14">
        <f>'DEZEMBRO-25'!C244</f>
        <v>0</v>
      </c>
      <c r="D244">
        <f>'DEZEMBRO-25'!D244</f>
        <v>0</v>
      </c>
    </row>
    <row r="245" spans="1:4" hidden="1">
      <c r="A245" s="11">
        <f>'DEZEMBRO-25'!A245</f>
        <v>0</v>
      </c>
      <c r="B245" s="14">
        <f>'DEZEMBRO-25'!G245</f>
        <v>0</v>
      </c>
      <c r="C245" s="14">
        <f>'DEZEMBRO-25'!C245</f>
        <v>0</v>
      </c>
      <c r="D245">
        <f>'DEZEMBRO-25'!D245</f>
        <v>0</v>
      </c>
    </row>
    <row r="246" spans="1:4" hidden="1">
      <c r="A246" s="11">
        <f>'DEZEMBRO-25'!A246</f>
        <v>0</v>
      </c>
      <c r="B246" s="14">
        <f>'DEZEMBRO-25'!G246</f>
        <v>0</v>
      </c>
      <c r="C246" s="14">
        <f>'DEZEMBRO-25'!C246</f>
        <v>0</v>
      </c>
      <c r="D246">
        <f>'DEZEMBRO-25'!D246</f>
        <v>0</v>
      </c>
    </row>
    <row r="247" spans="1:4" hidden="1">
      <c r="A247" s="11">
        <f>'DEZEMBRO-25'!A247</f>
        <v>0</v>
      </c>
      <c r="B247" s="14">
        <f>'DEZEMBRO-25'!G247</f>
        <v>0</v>
      </c>
      <c r="C247" s="14">
        <f>'DEZEMBRO-25'!C247</f>
        <v>0</v>
      </c>
      <c r="D247">
        <f>'DEZEMBRO-25'!D247</f>
        <v>0</v>
      </c>
    </row>
    <row r="248" spans="1:4" hidden="1">
      <c r="A248" s="11">
        <f>'DEZEMBRO-25'!A248</f>
        <v>0</v>
      </c>
      <c r="B248" s="14">
        <f>'DEZEMBRO-25'!G248</f>
        <v>0</v>
      </c>
      <c r="C248" s="14">
        <f>'DEZEMBRO-25'!C248</f>
        <v>0</v>
      </c>
      <c r="D248">
        <f>'DEZEMBRO-25'!D248</f>
        <v>0</v>
      </c>
    </row>
    <row r="249" spans="1:4" hidden="1">
      <c r="A249" s="11">
        <f>'DEZEMBRO-25'!A249</f>
        <v>0</v>
      </c>
      <c r="B249" s="14">
        <f>'DEZEMBRO-25'!G249</f>
        <v>0</v>
      </c>
      <c r="C249" s="14">
        <f>'DEZEMBRO-25'!C249</f>
        <v>0</v>
      </c>
      <c r="D249">
        <f>'DEZEMBRO-25'!D249</f>
        <v>0</v>
      </c>
    </row>
    <row r="250" spans="1:4" hidden="1">
      <c r="A250" s="11">
        <f>'DEZEMBRO-25'!A250</f>
        <v>0</v>
      </c>
      <c r="B250" s="14">
        <f>'DEZEMBRO-25'!G250</f>
        <v>0</v>
      </c>
      <c r="C250" s="14">
        <f>'DEZEMBRO-25'!C250</f>
        <v>0</v>
      </c>
      <c r="D250">
        <f>'DEZEMBRO-25'!D250</f>
        <v>0</v>
      </c>
    </row>
    <row r="251" spans="1:4" hidden="1">
      <c r="A251" s="11">
        <f>'DEZEMBRO-25'!A251</f>
        <v>0</v>
      </c>
      <c r="B251" s="14">
        <f>'DEZEMBRO-25'!G251</f>
        <v>0</v>
      </c>
      <c r="C251" s="14">
        <f>'DEZEMBRO-25'!C251</f>
        <v>0</v>
      </c>
      <c r="D251">
        <f>'DEZEMBRO-25'!D251</f>
        <v>0</v>
      </c>
    </row>
    <row r="252" spans="1:4" hidden="1">
      <c r="A252" s="11">
        <f>'DEZEMBRO-25'!A252</f>
        <v>0</v>
      </c>
      <c r="B252" s="14">
        <f>'DEZEMBRO-25'!G252</f>
        <v>0</v>
      </c>
      <c r="C252" s="14">
        <f>'DEZEMBRO-25'!C252</f>
        <v>0</v>
      </c>
      <c r="D252">
        <f>'DEZEMBRO-25'!D252</f>
        <v>0</v>
      </c>
    </row>
    <row r="253" spans="1:4" hidden="1">
      <c r="A253" s="11">
        <f>'DEZEMBRO-25'!A253</f>
        <v>0</v>
      </c>
      <c r="B253" s="14">
        <f>'DEZEMBRO-25'!G253</f>
        <v>0</v>
      </c>
      <c r="C253" s="14">
        <f>'DEZEMBRO-25'!C253</f>
        <v>0</v>
      </c>
      <c r="D253">
        <f>'DEZEMBRO-25'!D253</f>
        <v>0</v>
      </c>
    </row>
    <row r="254" spans="1:4" hidden="1">
      <c r="A254" s="11">
        <f>'DEZEMBRO-25'!A254</f>
        <v>0</v>
      </c>
      <c r="B254" s="14">
        <f>'DEZEMBRO-25'!G254</f>
        <v>0</v>
      </c>
      <c r="C254" s="14">
        <f>'DEZEMBRO-25'!C254</f>
        <v>0</v>
      </c>
      <c r="D254">
        <f>'DEZEMBRO-25'!D254</f>
        <v>0</v>
      </c>
    </row>
    <row r="255" spans="1:4" hidden="1">
      <c r="A255" s="11">
        <f>'DEZEMBRO-25'!A255</f>
        <v>0</v>
      </c>
      <c r="B255" s="14">
        <f>'DEZEMBRO-25'!G255</f>
        <v>0</v>
      </c>
      <c r="C255" s="14">
        <f>'DEZEMBRO-25'!C255</f>
        <v>0</v>
      </c>
      <c r="D255">
        <f>'DEZEMBRO-25'!D255</f>
        <v>0</v>
      </c>
    </row>
    <row r="256" spans="1:4" hidden="1">
      <c r="A256" s="11">
        <f>'DEZEMBRO-25'!A256</f>
        <v>0</v>
      </c>
      <c r="B256" s="14">
        <f>'DEZEMBRO-25'!G256</f>
        <v>0</v>
      </c>
      <c r="C256" s="14">
        <f>'DEZEMBRO-25'!C256</f>
        <v>0</v>
      </c>
      <c r="D256">
        <f>'DEZEMBRO-25'!D256</f>
        <v>0</v>
      </c>
    </row>
    <row r="257" spans="1:4" hidden="1">
      <c r="A257" s="11">
        <f>'DEZEMBRO-25'!A257</f>
        <v>0</v>
      </c>
      <c r="B257" s="14">
        <f>'DEZEMBRO-25'!G257</f>
        <v>0</v>
      </c>
      <c r="C257" s="14">
        <f>'DEZEMBRO-25'!C257</f>
        <v>0</v>
      </c>
      <c r="D257">
        <f>'DEZEMBRO-25'!D257</f>
        <v>0</v>
      </c>
    </row>
    <row r="258" spans="1:4" hidden="1">
      <c r="A258" s="11">
        <f>'DEZEMBRO-25'!A258</f>
        <v>0</v>
      </c>
      <c r="B258" s="14">
        <f>'DEZEMBRO-25'!G258</f>
        <v>0</v>
      </c>
      <c r="C258" s="14">
        <f>'DEZEMBRO-25'!C258</f>
        <v>0</v>
      </c>
      <c r="D258">
        <f>'DEZEMBRO-25'!D258</f>
        <v>0</v>
      </c>
    </row>
    <row r="259" spans="1:4" hidden="1">
      <c r="A259" s="11">
        <f>'DEZEMBRO-25'!A259</f>
        <v>0</v>
      </c>
      <c r="B259" s="14">
        <f>'DEZEMBRO-25'!G259</f>
        <v>0</v>
      </c>
      <c r="C259" s="14">
        <f>'DEZEMBRO-25'!C259</f>
        <v>0</v>
      </c>
      <c r="D259">
        <f>'DEZEMBRO-25'!D259</f>
        <v>0</v>
      </c>
    </row>
    <row r="260" spans="1:4" hidden="1">
      <c r="A260" s="11">
        <f>'DEZEMBRO-25'!A260</f>
        <v>0</v>
      </c>
      <c r="B260" s="14">
        <f>'DEZEMBRO-25'!G260</f>
        <v>0</v>
      </c>
      <c r="C260" s="14">
        <f>'DEZEMBRO-25'!C260</f>
        <v>0</v>
      </c>
      <c r="D260">
        <f>'DEZEMBRO-25'!D260</f>
        <v>0</v>
      </c>
    </row>
    <row r="261" spans="1:4" hidden="1">
      <c r="A261" s="11">
        <f>'DEZEMBRO-25'!A261</f>
        <v>0</v>
      </c>
      <c r="B261" s="14">
        <f>'DEZEMBRO-25'!G261</f>
        <v>0</v>
      </c>
      <c r="C261" s="14">
        <f>'DEZEMBRO-25'!C261</f>
        <v>0</v>
      </c>
      <c r="D261">
        <f>'DEZEMBRO-25'!D261</f>
        <v>0</v>
      </c>
    </row>
    <row r="262" spans="1:4" hidden="1">
      <c r="A262" s="11">
        <f>'DEZEMBRO-25'!A262</f>
        <v>0</v>
      </c>
      <c r="B262" s="14">
        <f>'DEZEMBRO-25'!G262</f>
        <v>0</v>
      </c>
      <c r="C262" s="14">
        <f>'DEZEMBRO-25'!C262</f>
        <v>0</v>
      </c>
      <c r="D262">
        <f>'DEZEMBRO-25'!D262</f>
        <v>0</v>
      </c>
    </row>
    <row r="263" spans="1:4" hidden="1">
      <c r="A263" s="11">
        <f>'DEZEMBRO-25'!A263</f>
        <v>0</v>
      </c>
      <c r="B263" s="14">
        <f>'DEZEMBRO-25'!G263</f>
        <v>0</v>
      </c>
      <c r="C263" s="14">
        <f>'DEZEMBRO-25'!C263</f>
        <v>0</v>
      </c>
      <c r="D263">
        <f>'DEZEMBRO-25'!D263</f>
        <v>0</v>
      </c>
    </row>
    <row r="264" spans="1:4" hidden="1">
      <c r="A264" s="11">
        <f>'DEZEMBRO-25'!A264</f>
        <v>0</v>
      </c>
      <c r="B264" s="14">
        <f>'DEZEMBRO-25'!G264</f>
        <v>0</v>
      </c>
      <c r="C264" s="14">
        <f>'DEZEMBRO-25'!C264</f>
        <v>0</v>
      </c>
      <c r="D264">
        <f>'DEZEMBRO-25'!D264</f>
        <v>0</v>
      </c>
    </row>
    <row r="265" spans="1:4" hidden="1">
      <c r="A265" s="11">
        <f>'DEZEMBRO-25'!A265</f>
        <v>0</v>
      </c>
      <c r="B265" s="14">
        <f>'DEZEMBRO-25'!G265</f>
        <v>0</v>
      </c>
      <c r="C265" s="14">
        <f>'DEZEMBRO-25'!C265</f>
        <v>0</v>
      </c>
      <c r="D265">
        <f>'DEZEMBRO-25'!D265</f>
        <v>0</v>
      </c>
    </row>
    <row r="266" spans="1:4" hidden="1">
      <c r="A266" s="11">
        <f>'DEZEMBRO-25'!A266</f>
        <v>0</v>
      </c>
      <c r="B266" s="14">
        <f>'DEZEMBRO-25'!G266</f>
        <v>0</v>
      </c>
      <c r="C266" s="14">
        <f>'DEZEMBRO-25'!C266</f>
        <v>0</v>
      </c>
      <c r="D266">
        <f>'DEZEMBRO-25'!D266</f>
        <v>0</v>
      </c>
    </row>
    <row r="267" spans="1:4" hidden="1">
      <c r="A267" s="11">
        <f>'DEZEMBRO-25'!A267</f>
        <v>0</v>
      </c>
      <c r="B267" s="14">
        <f>'DEZEMBRO-25'!G267</f>
        <v>0</v>
      </c>
      <c r="C267" s="14">
        <f>'DEZEMBRO-25'!C267</f>
        <v>0</v>
      </c>
      <c r="D267">
        <f>'DEZEMBRO-25'!D267</f>
        <v>0</v>
      </c>
    </row>
    <row r="268" spans="1:4" hidden="1">
      <c r="A268" s="11">
        <f>'DEZEMBRO-25'!A268</f>
        <v>0</v>
      </c>
      <c r="B268" s="14">
        <f>'DEZEMBRO-25'!G268</f>
        <v>0</v>
      </c>
      <c r="C268" s="14">
        <f>'DEZEMBRO-25'!C268</f>
        <v>0</v>
      </c>
      <c r="D268">
        <f>'DEZEMBRO-25'!D268</f>
        <v>0</v>
      </c>
    </row>
    <row r="269" spans="1:4" hidden="1">
      <c r="A269" s="11">
        <f>'DEZEMBRO-25'!A269</f>
        <v>0</v>
      </c>
      <c r="B269" s="14">
        <f>'DEZEMBRO-25'!G269</f>
        <v>0</v>
      </c>
      <c r="C269" s="14">
        <f>'DEZEMBRO-25'!C269</f>
        <v>0</v>
      </c>
      <c r="D269">
        <f>'DEZEMBRO-25'!D269</f>
        <v>0</v>
      </c>
    </row>
    <row r="270" spans="1:4" hidden="1">
      <c r="A270" s="11">
        <f>'DEZEMBRO-25'!A270</f>
        <v>0</v>
      </c>
      <c r="B270" s="14">
        <f>'DEZEMBRO-25'!G270</f>
        <v>0</v>
      </c>
      <c r="C270" s="14">
        <f>'DEZEMBRO-25'!C270</f>
        <v>0</v>
      </c>
      <c r="D270">
        <f>'DEZEMBRO-25'!D270</f>
        <v>0</v>
      </c>
    </row>
    <row r="271" spans="1:4" hidden="1">
      <c r="A271" s="11">
        <f>'DEZEMBRO-25'!A271</f>
        <v>0</v>
      </c>
      <c r="B271" s="14">
        <f>'DEZEMBRO-25'!G271</f>
        <v>0</v>
      </c>
      <c r="C271" s="14">
        <f>'DEZEMBRO-25'!C271</f>
        <v>0</v>
      </c>
      <c r="D271">
        <f>'DEZEMBRO-25'!D271</f>
        <v>0</v>
      </c>
    </row>
    <row r="272" spans="1:4" hidden="1">
      <c r="A272" s="11">
        <f>'DEZEMBRO-25'!A272</f>
        <v>0</v>
      </c>
      <c r="B272" s="14">
        <f>'DEZEMBRO-25'!G272</f>
        <v>0</v>
      </c>
      <c r="C272" s="14">
        <f>'DEZEMBRO-25'!C272</f>
        <v>0</v>
      </c>
      <c r="D272">
        <f>'DEZEMBRO-25'!D272</f>
        <v>0</v>
      </c>
    </row>
    <row r="273" spans="1:4" hidden="1">
      <c r="A273" s="11">
        <f>'DEZEMBRO-25'!A273</f>
        <v>0</v>
      </c>
      <c r="B273" s="14">
        <f>'DEZEMBRO-25'!G273</f>
        <v>0</v>
      </c>
      <c r="C273" s="14">
        <f>'DEZEMBRO-25'!C273</f>
        <v>0</v>
      </c>
      <c r="D273">
        <f>'DEZEMBRO-25'!D273</f>
        <v>0</v>
      </c>
    </row>
    <row r="274" spans="1:4" hidden="1">
      <c r="A274" s="11">
        <f>'DEZEMBRO-25'!A274</f>
        <v>0</v>
      </c>
      <c r="B274" s="14">
        <f>'DEZEMBRO-25'!G274</f>
        <v>0</v>
      </c>
      <c r="C274" s="14">
        <f>'DEZEMBRO-25'!C274</f>
        <v>0</v>
      </c>
      <c r="D274">
        <f>'DEZEMBRO-25'!D274</f>
        <v>0</v>
      </c>
    </row>
    <row r="275" spans="1:4" hidden="1">
      <c r="A275" s="11">
        <f>'DEZEMBRO-25'!A275</f>
        <v>0</v>
      </c>
      <c r="B275" s="14">
        <f>'DEZEMBRO-25'!G275</f>
        <v>0</v>
      </c>
      <c r="C275" s="14">
        <f>'DEZEMBRO-25'!C275</f>
        <v>0</v>
      </c>
      <c r="D275">
        <f>'DEZEMBRO-25'!D275</f>
        <v>0</v>
      </c>
    </row>
    <row r="276" spans="1:4" hidden="1">
      <c r="A276" s="11">
        <f>'DEZEMBRO-25'!A276</f>
        <v>0</v>
      </c>
      <c r="B276" s="14">
        <f>'DEZEMBRO-25'!G276</f>
        <v>0</v>
      </c>
      <c r="C276" s="14">
        <f>'DEZEMBRO-25'!C276</f>
        <v>0</v>
      </c>
      <c r="D276">
        <f>'DEZEMBRO-25'!D276</f>
        <v>0</v>
      </c>
    </row>
    <row r="277" spans="1:4" hidden="1">
      <c r="A277" s="11">
        <f>'DEZEMBRO-25'!A277</f>
        <v>0</v>
      </c>
      <c r="B277" s="14">
        <f>'DEZEMBRO-25'!G277</f>
        <v>0</v>
      </c>
      <c r="C277" s="14">
        <f>'DEZEMBRO-25'!C277</f>
        <v>0</v>
      </c>
      <c r="D277">
        <f>'DEZEMBRO-25'!D277</f>
        <v>0</v>
      </c>
    </row>
    <row r="278" spans="1:4" hidden="1">
      <c r="A278" s="11">
        <f>'DEZEMBRO-25'!A278</f>
        <v>0</v>
      </c>
      <c r="B278" s="14">
        <f>'DEZEMBRO-25'!G278</f>
        <v>0</v>
      </c>
      <c r="C278" s="14">
        <f>'DEZEMBRO-25'!C278</f>
        <v>0</v>
      </c>
      <c r="D278">
        <f>'DEZEMBRO-25'!D278</f>
        <v>0</v>
      </c>
    </row>
    <row r="279" spans="1:4" hidden="1">
      <c r="A279" s="11">
        <f>'DEZEMBRO-25'!A279</f>
        <v>0</v>
      </c>
      <c r="B279" s="14">
        <f>'DEZEMBRO-25'!G279</f>
        <v>0</v>
      </c>
      <c r="C279" s="14">
        <f>'DEZEMBRO-25'!C279</f>
        <v>0</v>
      </c>
      <c r="D279">
        <f>'DEZEMBRO-25'!D279</f>
        <v>0</v>
      </c>
    </row>
    <row r="280" spans="1:4" hidden="1">
      <c r="A280" s="11">
        <f>'DEZEMBRO-25'!A280</f>
        <v>0</v>
      </c>
      <c r="B280" s="14">
        <f>'DEZEMBRO-25'!G280</f>
        <v>0</v>
      </c>
      <c r="C280" s="14">
        <f>'DEZEMBRO-25'!C280</f>
        <v>0</v>
      </c>
      <c r="D280">
        <f>'DEZEMBRO-25'!D280</f>
        <v>0</v>
      </c>
    </row>
    <row r="281" spans="1:4" hidden="1">
      <c r="A281" s="11">
        <f>'DEZEMBRO-25'!A281</f>
        <v>0</v>
      </c>
      <c r="B281" s="14">
        <f>'DEZEMBRO-25'!G281</f>
        <v>0</v>
      </c>
      <c r="C281" s="14">
        <f>'DEZEMBRO-25'!C281</f>
        <v>0</v>
      </c>
      <c r="D281">
        <f>'DEZEMBRO-25'!D281</f>
        <v>0</v>
      </c>
    </row>
    <row r="282" spans="1:4" hidden="1">
      <c r="A282" s="11">
        <f>'DEZEMBRO-25'!A282</f>
        <v>0</v>
      </c>
      <c r="B282" s="14">
        <f>'DEZEMBRO-25'!G282</f>
        <v>0</v>
      </c>
      <c r="C282" s="14">
        <f>'DEZEMBRO-25'!C282</f>
        <v>0</v>
      </c>
      <c r="D282">
        <f>'DEZEMBRO-25'!D282</f>
        <v>0</v>
      </c>
    </row>
    <row r="283" spans="1:4" hidden="1">
      <c r="A283" s="11">
        <f>'DEZEMBRO-25'!A283</f>
        <v>0</v>
      </c>
      <c r="B283" s="14">
        <f>'DEZEMBRO-25'!G283</f>
        <v>0</v>
      </c>
      <c r="C283" s="14">
        <f>'DEZEMBRO-25'!C283</f>
        <v>0</v>
      </c>
      <c r="D283">
        <f>'DEZEMBRO-25'!D283</f>
        <v>0</v>
      </c>
    </row>
    <row r="284" spans="1:4" hidden="1">
      <c r="A284" s="11">
        <f>'DEZEMBRO-25'!A284</f>
        <v>0</v>
      </c>
      <c r="B284" s="14">
        <f>'DEZEMBRO-25'!G284</f>
        <v>0</v>
      </c>
      <c r="C284" s="14">
        <f>'DEZEMBRO-25'!C284</f>
        <v>0</v>
      </c>
      <c r="D284">
        <f>'DEZEMBRO-25'!D284</f>
        <v>0</v>
      </c>
    </row>
    <row r="285" spans="1:4" hidden="1">
      <c r="A285" s="11">
        <f>'DEZEMBRO-25'!A285</f>
        <v>0</v>
      </c>
      <c r="B285" s="14">
        <f>'DEZEMBRO-25'!G285</f>
        <v>0</v>
      </c>
      <c r="C285" s="14">
        <f>'DEZEMBRO-25'!C285</f>
        <v>0</v>
      </c>
      <c r="D285">
        <f>'DEZEMBRO-25'!D285</f>
        <v>0</v>
      </c>
    </row>
    <row r="286" spans="1:4" hidden="1">
      <c r="A286" s="11">
        <f>'DEZEMBRO-25'!A286</f>
        <v>0</v>
      </c>
      <c r="B286" s="14">
        <f>'DEZEMBRO-25'!G286</f>
        <v>0</v>
      </c>
      <c r="C286" s="14">
        <f>'DEZEMBRO-25'!C286</f>
        <v>0</v>
      </c>
      <c r="D286">
        <f>'DEZEMBRO-25'!D286</f>
        <v>0</v>
      </c>
    </row>
    <row r="287" spans="1:4" hidden="1">
      <c r="A287" s="11">
        <f>'DEZEMBRO-25'!A287</f>
        <v>0</v>
      </c>
      <c r="B287" s="14">
        <f>'DEZEMBRO-25'!G287</f>
        <v>0</v>
      </c>
      <c r="C287" s="14">
        <f>'DEZEMBRO-25'!C287</f>
        <v>0</v>
      </c>
      <c r="D287">
        <f>'DEZEMBRO-25'!D287</f>
        <v>0</v>
      </c>
    </row>
    <row r="288" spans="1:4" hidden="1">
      <c r="A288" s="11">
        <f>'DEZEMBRO-25'!A288</f>
        <v>0</v>
      </c>
      <c r="B288" s="14">
        <f>'DEZEMBRO-25'!G288</f>
        <v>0</v>
      </c>
      <c r="C288" s="14">
        <f>'DEZEMBRO-25'!C288</f>
        <v>0</v>
      </c>
      <c r="D288">
        <f>'DEZEMBRO-25'!D288</f>
        <v>0</v>
      </c>
    </row>
    <row r="289" spans="1:4" hidden="1">
      <c r="A289" s="11">
        <f>'DEZEMBRO-25'!A289</f>
        <v>0</v>
      </c>
      <c r="B289" s="14">
        <f>'DEZEMBRO-25'!G289</f>
        <v>0</v>
      </c>
      <c r="C289" s="14">
        <f>'DEZEMBRO-25'!C289</f>
        <v>0</v>
      </c>
      <c r="D289">
        <f>'DEZEMBRO-25'!D289</f>
        <v>0</v>
      </c>
    </row>
    <row r="290" spans="1:4" hidden="1">
      <c r="A290" s="11">
        <f>'DEZEMBRO-25'!A290</f>
        <v>0</v>
      </c>
      <c r="B290" s="14">
        <f>'DEZEMBRO-25'!G290</f>
        <v>0</v>
      </c>
      <c r="C290" s="14">
        <f>'DEZEMBRO-25'!C290</f>
        <v>0</v>
      </c>
      <c r="D290">
        <f>'DEZEMBRO-25'!D290</f>
        <v>0</v>
      </c>
    </row>
    <row r="291" spans="1:4" hidden="1">
      <c r="A291" s="11">
        <f>'DEZEMBRO-25'!A291</f>
        <v>0</v>
      </c>
      <c r="B291" s="14">
        <f>'DEZEMBRO-25'!G291</f>
        <v>0</v>
      </c>
      <c r="C291" s="14">
        <f>'DEZEMBRO-25'!C291</f>
        <v>0</v>
      </c>
      <c r="D291">
        <f>'DEZEMBRO-25'!D291</f>
        <v>0</v>
      </c>
    </row>
    <row r="292" spans="1:4" hidden="1">
      <c r="A292" s="11">
        <f>'DEZEMBRO-25'!A292</f>
        <v>0</v>
      </c>
      <c r="B292" s="14">
        <f>'DEZEMBRO-25'!G292</f>
        <v>0</v>
      </c>
      <c r="C292" s="14">
        <f>'DEZEMBRO-25'!C292</f>
        <v>0</v>
      </c>
      <c r="D292">
        <f>'DEZEMBRO-25'!D292</f>
        <v>0</v>
      </c>
    </row>
    <row r="293" spans="1:4" hidden="1">
      <c r="A293" s="11">
        <f>'DEZEMBRO-25'!A293</f>
        <v>0</v>
      </c>
      <c r="B293" s="14">
        <f>'DEZEMBRO-25'!G293</f>
        <v>0</v>
      </c>
      <c r="C293" s="14">
        <f>'DEZEMBRO-25'!C293</f>
        <v>0</v>
      </c>
      <c r="D293">
        <f>'DEZEMBRO-25'!D293</f>
        <v>0</v>
      </c>
    </row>
    <row r="294" spans="1:4" hidden="1">
      <c r="A294" s="11">
        <f>'DEZEMBRO-25'!A294</f>
        <v>0</v>
      </c>
      <c r="B294" s="14">
        <f>'DEZEMBRO-25'!G294</f>
        <v>0</v>
      </c>
      <c r="C294" s="14">
        <f>'DEZEMBRO-25'!C294</f>
        <v>0</v>
      </c>
      <c r="D294">
        <f>'DEZEMBRO-25'!D294</f>
        <v>0</v>
      </c>
    </row>
    <row r="295" spans="1:4" hidden="1">
      <c r="A295" s="11">
        <f>'DEZEMBRO-25'!A295</f>
        <v>0</v>
      </c>
      <c r="B295" s="14">
        <f>'DEZEMBRO-25'!G295</f>
        <v>0</v>
      </c>
      <c r="C295" s="14">
        <f>'DEZEMBRO-25'!C295</f>
        <v>0</v>
      </c>
      <c r="D295">
        <f>'DEZEMBRO-25'!D295</f>
        <v>0</v>
      </c>
    </row>
    <row r="296" spans="1:4" hidden="1">
      <c r="A296" s="11">
        <f>'DEZEMBRO-25'!A296</f>
        <v>0</v>
      </c>
      <c r="B296" s="14">
        <f>'DEZEMBRO-25'!G296</f>
        <v>0</v>
      </c>
      <c r="C296" s="14">
        <f>'DEZEMBRO-25'!C296</f>
        <v>0</v>
      </c>
      <c r="D296">
        <f>'DEZEMBRO-25'!D296</f>
        <v>0</v>
      </c>
    </row>
    <row r="297" spans="1:4" hidden="1">
      <c r="A297" s="11">
        <f>'DEZEMBRO-25'!A297</f>
        <v>0</v>
      </c>
      <c r="B297" s="14">
        <f>'DEZEMBRO-25'!G297</f>
        <v>0</v>
      </c>
      <c r="C297" s="14">
        <f>'DEZEMBRO-25'!C297</f>
        <v>0</v>
      </c>
      <c r="D297">
        <f>'DEZEMBRO-25'!D297</f>
        <v>0</v>
      </c>
    </row>
    <row r="298" spans="1:4" hidden="1">
      <c r="A298" s="11">
        <f>'DEZEMBRO-25'!A298</f>
        <v>0</v>
      </c>
      <c r="B298" s="14">
        <f>'DEZEMBRO-25'!G298</f>
        <v>0</v>
      </c>
      <c r="C298" s="14">
        <f>'DEZEMBRO-25'!C298</f>
        <v>0</v>
      </c>
      <c r="D298">
        <f>'DEZEMBRO-25'!D298</f>
        <v>0</v>
      </c>
    </row>
    <row r="299" spans="1:4" hidden="1">
      <c r="A299" s="11">
        <f>'DEZEMBRO-25'!A299</f>
        <v>0</v>
      </c>
      <c r="B299" s="14">
        <f>'DEZEMBRO-25'!G299</f>
        <v>0</v>
      </c>
      <c r="C299" s="14">
        <f>'DEZEMBRO-25'!C299</f>
        <v>0</v>
      </c>
      <c r="D299">
        <f>'DEZEMBRO-25'!D299</f>
        <v>0</v>
      </c>
    </row>
    <row r="300" spans="1:4" hidden="1">
      <c r="A300" s="11">
        <f>'DEZEMBRO-25'!A300</f>
        <v>0</v>
      </c>
      <c r="B300" s="14">
        <f>'DEZEMBRO-25'!G300</f>
        <v>0</v>
      </c>
      <c r="C300" s="14">
        <f>'DEZEMBRO-25'!C300</f>
        <v>0</v>
      </c>
      <c r="D300">
        <f>'DEZEMBRO-25'!D300</f>
        <v>0</v>
      </c>
    </row>
  </sheetData>
  <autoFilter ref="A1:BS300" xr:uid="{00000000-0001-0000-0300-000000000000}">
    <filterColumn colId="0">
      <filters>
        <filter val="ÁGUA SANITÁRIA 2L"/>
        <filter val="AGULHA HIPODÉRMICA 13X4.5 C/100"/>
        <filter val="AGULHA HIPODÉRMICA 20X5.5 C/100"/>
        <filter val="AGULHA HIPODÉRMICA 25X8 C/100"/>
        <filter val="AGULHA HIPODÉRMICA 40X12 C/100"/>
        <filter val="ALGODÃO HIDRÓFILO"/>
        <filter val="ALGODÃO ORTOPÉDICO 10CM"/>
        <filter val="ALGODÃO ORTOPÉDICO 20CM"/>
        <filter val="ALMOTOLIA 250 ML"/>
        <filter val="ALMOTOLIA 500 ML"/>
        <filter val="APARELHO MEDIDOR GLICOSE (GLICOSÍMETRO)"/>
        <filter val="armário de aço 2 portas 1600x750x400"/>
        <filter val="armário de aço 2 portas 192x800x400"/>
        <filter val="arquivo de aço 4 gavetas tamanho 0.13x0.6x1.34"/>
        <filter val="ATADURA CREPE 10CM"/>
        <filter val="ATADURA CREPE 15CM"/>
        <filter val="ATADURA CREPE 20CM"/>
        <filter val="ATADURA DE ALGODÃO 10CM"/>
        <filter val="ATADURA DE ALGODÃO 15CM"/>
        <filter val="ATADURA DE ALGODÃO 20CM"/>
        <filter val="BATERIA GLICOSE (GLICOSÍMETRO)"/>
        <filter val="BOLSA COLETORA DE URINA"/>
        <filter val="BOM AR"/>
        <filter val="CADERNO BROCHURA CAP. DURA (grande)"/>
        <filter val="CAIXA BOX"/>
        <filter val="CANETA PARA RETROPROJETOR AZUL"/>
        <filter val="CANETA PARA RETROPROJETOR PRETA"/>
        <filter val="CANETA PARA RETROPROJETOR VERMELHO"/>
        <filter val="CATETER PERIFÉRICO 14G"/>
        <filter val="CATETER PERIFÉRICO 20G"/>
        <filter val="CATETER PERIFÉRICO 22G (PONTA AZUL)"/>
        <filter val="CATETER PERIFÉRICO 24G"/>
        <filter val="COADOR G"/>
        <filter val="COADOR M"/>
        <filter val="COLAR CERVICAL MÉDIO"/>
        <filter val="COMPRESSA DE GAZE (PCTO)"/>
        <filter val="COMPRESSA DE GAZE 7.5x7.5cm (estéreo)"/>
        <filter val="COPO DESCARTÁVEL"/>
        <filter val="DESINFETANTE"/>
        <filter val="ELÁSTICA"/>
        <filter val="ENVELOPE A4"/>
        <filter val="EQUIPO DE NUTRIÇÃO ENTERAL"/>
        <filter val="EQUIPO MACROGOTAS-COMPLETO"/>
        <filter val="EQUIPO MICRO C/ BURETA"/>
        <filter val="EQUIPO MULTIVIAS C/CLAMP"/>
        <filter val="EQUIPO TORNEIRA 3 VIAS LUER SIMPLES"/>
        <filter val="ESCOVA DE LAVAR"/>
        <filter val="ESPARADRAPOS 10CMX4.5"/>
        <filter val="ESPARADRAPOS 5CMX4.5"/>
        <filter val="ESTERELIZADO 35%"/>
        <filter val="ESTILETE C/12 LÂMINA MAIOR"/>
        <filter val="EXTRATOR DE GRAMPO C/12"/>
        <filter val="FITA CIRÚRGICA MICROPOROSA 05CM"/>
        <filter val="FITA CIRÚRGICA MICROPOROSA 10CM"/>
        <filter val="FITA CREPE"/>
        <filter val="FITA DUPLAFACE"/>
        <filter val="FITA DUREX LARGA"/>
        <filter val="FITA MÉTRICA"/>
        <filter val="FLANELA"/>
        <filter val="fogão industrial 4 bocas"/>
        <filter val="fogão industrial 6 bocas"/>
        <filter val="GRAMPEADOR"/>
        <filter val="GRAMPO 26/6"/>
        <filter val="JALECO DESCARTÁVEL MANGA LONGA"/>
        <filter val="LÂMPADA"/>
        <filter val="LIXEIRA COM TAMPA E PEDAL 10LT"/>
        <filter val="longarinas"/>
        <filter val="LUVA N/ESTÉRIL G"/>
        <filter val="LUVA N/ESTÉRIL M"/>
        <filter val="LUVA N/ESTÉRIL P"/>
        <filter val="LUVA N/ESTÉRIL PP"/>
        <filter val="MACADOR PRETO"/>
        <filter val="MARCA TEXTO"/>
        <filter val="ÓLEO CICATRIZANTE 100ML (GIRASSOL)"/>
        <filter val="ÓLEO CICATRIZANTE 200ML (GIRASSOL)"/>
        <filter val="PANO DE PRATO"/>
        <filter val="PILHA AAA (COMUN)"/>
        <filter val="PILHA AAA (PALITO)"/>
        <filter val="PISTOLA COLA QUENTE GRANDE"/>
        <filter val="PORTA CANETA"/>
        <filter val="PRANCHETA"/>
        <filter val="pratireira"/>
        <filter val="PURIFICADOR"/>
        <filter val="REGUA 30 CM"/>
        <filter val="SABÃO LÍQUIDO"/>
        <filter val="SACO DE LIXO 100lt"/>
        <filter val="SCALP 23G"/>
        <filter val="SERINGA HIPODÉRMICA 20ML"/>
        <filter val="SERINGA HIPODÉRMICA 3ML"/>
        <filter val="SERINGA P/INSULINA 1ML"/>
        <filter val="SONDA DE FOLEY 14"/>
        <filter val="SONDA URETRAL N°10"/>
        <filter val="SONDA URETRAL N°12"/>
        <filter val="SONDA URETRAL N°14"/>
        <filter val="SONDA URETRAL N°14 TRANSF. MARROM GÁS ETO"/>
        <filter val="SORO GLICOSADO 250 ML"/>
        <filter val="SORO GLICOSADO 500 ML"/>
        <filter val="TALA ARAMADA KIT"/>
        <filter val="TERMÔMETRO DIGITAL"/>
        <filter val="TERMÔMETRO INFRAVERMELHO"/>
        <filter val="TESOURA MULTIUSO"/>
        <filter val="TUBO DE COLA QUENTE GROSSA"/>
        <filter val="TUBO DE LATEX 15 M"/>
        <filter val="VASELINA LÍQUIDA"/>
        <filter val="VASSOURA PIAÇAVA"/>
        <filter val="ventilador de parede"/>
      </filters>
    </filterColumn>
  </autoFilter>
  <conditionalFormatting sqref="B2:B1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4" sqref="B4"/>
    </sheetView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"/>
  <sheetViews>
    <sheetView workbookViewId="0">
      <selection activeCell="B4" sqref="B4"/>
    </sheetView>
  </sheetViews>
  <sheetFormatPr defaultRowHeight="14.65"/>
  <sheetData>
    <row r="4" spans="2:2">
      <c r="B4" s="3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B4" sqref="B4"/>
    </sheetView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B4" sqref="B4"/>
    </sheetView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6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PML</dc:creator>
  <cp:keywords/>
  <dc:description/>
  <cp:lastModifiedBy/>
  <cp:revision/>
  <dcterms:created xsi:type="dcterms:W3CDTF">2025-06-03T16:59:20Z</dcterms:created>
  <dcterms:modified xsi:type="dcterms:W3CDTF">2026-01-07T18:53:21Z</dcterms:modified>
  <cp:category/>
  <cp:contentStatus/>
</cp:coreProperties>
</file>